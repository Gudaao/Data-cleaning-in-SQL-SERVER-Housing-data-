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317\Desktop\PROYECTOS PORTAFOLIO\"/>
    </mc:Choice>
  </mc:AlternateContent>
  <xr:revisionPtr revIDLastSave="0" documentId="13_ncr:1_{D5AD7BDB-7A1A-420E-99BA-C44C3B03959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bike_buyers" sheetId="1" r:id="rId1"/>
    <sheet name="WORKING SHEET" sheetId="5" state="hidden" r:id="rId2"/>
    <sheet name="PIVOT TABLE" sheetId="3" state="hidden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egmentaciónDeDatos_Cars">#N/A</definedName>
    <definedName name="SegmentaciónDeDatos_Education">#N/A</definedName>
    <definedName name="SegmentaciónDeDatos_Home_Owner">#N/A</definedName>
    <definedName name="SegmentaciónDeDatos_Marital_Status">#N/A</definedName>
    <definedName name="SegmentaciónDeDatos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6" i="2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57317</author>
  </authors>
  <commentList>
    <comment ref="A46" authorId="0" shapeId="0" xr:uid="{38672878-5988-4389-AC41-4F452597D3B4}">
      <text>
        <r>
          <rPr>
            <b/>
            <sz val="9"/>
            <color indexed="81"/>
            <rFont val="Tahoma"/>
            <family val="2"/>
          </rPr>
          <t>La meta es del 70%</t>
        </r>
      </text>
    </comment>
  </commentList>
</comments>
</file>

<file path=xl/sharedStrings.xml><?xml version="1.0" encoding="utf-8"?>
<sst xmlns="http://schemas.openxmlformats.org/spreadsheetml/2006/main" count="16313" uniqueCount="53">
  <si>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</si>
  <si>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</si>
  <si>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</si>
  <si>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</si>
  <si>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</si>
  <si>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</si>
  <si>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</si>
  <si>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</si>
  <si>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</si>
  <si>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</si>
  <si>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</si>
  <si>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</si>
  <si>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</si>
  <si>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</si>
  <si>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</si>
  <si>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</si>
  <si>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</si>
  <si>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</si>
  <si>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</si>
  <si>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</si>
  <si>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</si>
  <si>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</si>
  <si>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</si>
  <si>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</si>
  <si>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</si>
  <si>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</si>
  <si>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</si>
  <si>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</si>
  <si>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</si>
  <si>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</si>
  <si>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</si>
  <si>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</si>
  <si>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</si>
  <si>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</si>
  <si>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</si>
  <si>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</si>
  <si>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</si>
  <si>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</si>
  <si>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</si>
  <si>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</si>
  <si>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</si>
  <si>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Etiquetas de fila</t>
  </si>
  <si>
    <t>Total general</t>
  </si>
  <si>
    <t>Promedio de Income</t>
  </si>
  <si>
    <t>Etiquetas de columna</t>
  </si>
  <si>
    <t>Cuenta de Purchased Bike</t>
  </si>
  <si>
    <t>More than 10 Miles</t>
  </si>
  <si>
    <t>Old</t>
  </si>
  <si>
    <t>Adolescent</t>
  </si>
  <si>
    <t>Middle Age</t>
  </si>
  <si>
    <t>Bike Sales Dashboard</t>
  </si>
  <si>
    <t xml:space="preserve"> </t>
  </si>
  <si>
    <t>Tasa de Conversión Total (KPI)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</si>
</sst>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64" fontId="0" fillId="0" borderId="0" xfId="0" applyNumberFormat="1"/>
    <xf numFmtId="0" fontId="18" fillId="0" borderId="0" xfId="0" applyFon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3" borderId="0" xfId="0" applyFill="1"/>
    <xf numFmtId="0" fontId="0" fillId="34" borderId="0" xfId="0" applyFill="1"/>
    <xf numFmtId="0" fontId="19" fillId="33" borderId="0" xfId="0" applyFont="1" applyFill="1" applyAlignment="1">
      <alignment horizontal="center" vertical="center"/>
    </xf>
    <xf numFmtId="10" fontId="21" fillId="35" borderId="10" xfId="0" applyNumberFormat="1" applyFont="1" applyFill="1" applyBorder="1" applyAlignment="1">
      <alignment horizontal="center" vertical="center" wrapText="1"/>
    </xf>
    <xf numFmtId="10" fontId="21" fillId="35" borderId="11" xfId="0" applyNumberFormat="1" applyFont="1" applyFill="1" applyBorder="1" applyAlignment="1">
      <alignment horizontal="center" vertical="center" wrapText="1"/>
    </xf>
    <xf numFmtId="10" fontId="21" fillId="35" borderId="12" xfId="0" applyNumberFormat="1" applyFont="1" applyFill="1" applyBorder="1" applyAlignment="1">
      <alignment horizontal="center" vertical="center" wrapText="1"/>
    </xf>
    <xf numFmtId="10" fontId="21" fillId="35" borderId="13" xfId="0" applyNumberFormat="1" applyFont="1" applyFill="1" applyBorder="1" applyAlignment="1">
      <alignment horizontal="center" vertical="center" wrapText="1"/>
    </xf>
    <xf numFmtId="10" fontId="21" fillId="35" borderId="0" xfId="0" applyNumberFormat="1" applyFont="1" applyFill="1" applyBorder="1" applyAlignment="1">
      <alignment horizontal="center" vertical="center" wrapText="1"/>
    </xf>
    <xf numFmtId="10" fontId="21" fillId="35" borderId="14" xfId="0" applyNumberFormat="1" applyFont="1" applyFill="1" applyBorder="1" applyAlignment="1">
      <alignment horizontal="center" vertical="center" wrapText="1"/>
    </xf>
    <xf numFmtId="10" fontId="21" fillId="35" borderId="15" xfId="0" applyNumberFormat="1" applyFont="1" applyFill="1" applyBorder="1" applyAlignment="1">
      <alignment horizontal="center" vertical="center" wrapText="1"/>
    </xf>
    <xf numFmtId="10" fontId="21" fillId="35" borderId="16" xfId="0" applyNumberFormat="1" applyFont="1" applyFill="1" applyBorder="1" applyAlignment="1">
      <alignment horizontal="center" vertical="center" wrapText="1"/>
    </xf>
    <xf numFmtId="10" fontId="21" fillId="35" borderId="17" xfId="0" applyNumberFormat="1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20" fillId="35" borderId="0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font>
        <b/>
        <i val="0"/>
        <color rgb="FF00B050"/>
      </font>
    </dxf>
    <dxf>
      <font>
        <b/>
        <i val="0"/>
        <color rgb="FFFF0000"/>
      </font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Average income</a:t>
            </a:r>
            <a:r>
              <a:rPr lang="es-CO" baseline="0"/>
              <a:t> per purchase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4-423C-A933-66E1F2A2D74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4-423C-A933-66E1F2A2D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041791"/>
        <c:axId val="2132003471"/>
      </c:barChart>
      <c:catAx>
        <c:axId val="2129041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2003471"/>
        <c:crosses val="autoZero"/>
        <c:auto val="1"/>
        <c:lblAlgn val="ctr"/>
        <c:lblOffset val="100"/>
        <c:noMultiLvlLbl val="0"/>
      </c:catAx>
      <c:valAx>
        <c:axId val="213200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29041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Customer Conmute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TABLE'!$B$27:$B$32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6-4100-AC70-1FBF11E25A4C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TABLE'!$C$27:$C$32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6-4100-AC70-1FBF11E2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684575"/>
        <c:axId val="1936685055"/>
      </c:lineChart>
      <c:catAx>
        <c:axId val="1936684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Commute</a:t>
                </a:r>
                <a:r>
                  <a:rPr lang="es-CO" baseline="0"/>
                  <a:t> distance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6685055"/>
        <c:crosses val="autoZero"/>
        <c:auto val="1"/>
        <c:lblAlgn val="ctr"/>
        <c:lblOffset val="100"/>
        <c:noMultiLvlLbl val="0"/>
      </c:catAx>
      <c:valAx>
        <c:axId val="193668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668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Customer</a:t>
            </a:r>
            <a:r>
              <a:rPr lang="es-CO" baseline="0"/>
              <a:t> Age Brackets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TABLE'!$B$49:$B$50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TABLE'!$A$51:$A$54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TABLE'!$B$51:$B$54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B-46F9-A140-13EC29F516DF}"/>
            </c:ext>
          </c:extLst>
        </c:ser>
        <c:ser>
          <c:idx val="1"/>
          <c:order val="1"/>
          <c:tx>
            <c:strRef>
              <c:f>'PIVOT TABLE'!$C$49:$C$50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TABLE'!$A$51:$A$54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TABLE'!$C$51:$C$54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B-46F9-A140-13EC29F51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1519"/>
        <c:axId val="17852959"/>
      </c:lineChart>
      <c:catAx>
        <c:axId val="1785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52959"/>
        <c:crosses val="autoZero"/>
        <c:auto val="1"/>
        <c:lblAlgn val="ctr"/>
        <c:lblOffset val="100"/>
        <c:noMultiLvlLbl val="0"/>
      </c:catAx>
      <c:valAx>
        <c:axId val="1785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5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%</a:t>
            </a:r>
            <a:r>
              <a:rPr lang="es-CO" baseline="0"/>
              <a:t> Clients per region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TABLE'!$B$71:$B$72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TABLE'!$A$73:$A$76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TABLE'!$B$73:$B$76</c:f>
              <c:numCache>
                <c:formatCode>0.00%</c:formatCode>
                <c:ptCount val="3"/>
                <c:pt idx="0">
                  <c:v>0.152</c:v>
                </c:pt>
                <c:pt idx="1">
                  <c:v>0.28799999999999998</c:v>
                </c:pt>
                <c:pt idx="2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F-47E1-9FD1-A6F36F3D93A1}"/>
            </c:ext>
          </c:extLst>
        </c:ser>
        <c:ser>
          <c:idx val="1"/>
          <c:order val="1"/>
          <c:tx>
            <c:strRef>
              <c:f>'PIVOT TABLE'!$C$71:$C$72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TABLE'!$A$73:$A$76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TABLE'!$C$73:$C$76</c:f>
              <c:numCache>
                <c:formatCode>0.00%</c:formatCode>
                <c:ptCount val="3"/>
                <c:pt idx="0">
                  <c:v>0.14799999999999999</c:v>
                </c:pt>
                <c:pt idx="1">
                  <c:v>0.22</c:v>
                </c:pt>
                <c:pt idx="2">
                  <c:v>0.113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F-47E1-9FD1-A6F36F3D9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21696751"/>
        <c:axId val="621697231"/>
      </c:barChart>
      <c:catAx>
        <c:axId val="621696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1697231"/>
        <c:crosses val="autoZero"/>
        <c:auto val="1"/>
        <c:lblAlgn val="ctr"/>
        <c:lblOffset val="100"/>
        <c:noMultiLvlLbl val="0"/>
      </c:catAx>
      <c:valAx>
        <c:axId val="6216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1696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/>
              <a:t>%</a:t>
            </a:r>
            <a:r>
              <a:rPr lang="en-US" sz="3200" baseline="0"/>
              <a:t> of purchases</a:t>
            </a:r>
            <a:endParaRPr lang="en-US"/>
          </a:p>
        </c:rich>
      </c:tx>
      <c:layout>
        <c:manualLayout>
          <c:xMode val="edge"/>
          <c:yMode val="edge"/>
          <c:x val="0.3948333333333332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206443569553806"/>
          <c:y val="0.20881598133566634"/>
          <c:w val="0.41843350831146103"/>
          <c:h val="0.6973891805191017"/>
        </c:manualLayout>
      </c:layout>
      <c:doughnutChart>
        <c:varyColors val="1"/>
        <c:ser>
          <c:idx val="0"/>
          <c:order val="0"/>
          <c:tx>
            <c:strRef>
              <c:f>'PIVOT TABLE'!$B$96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8E-4E29-9B17-E04C024E447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8E-4E29-9B17-E04C024E44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TABLE'!$A$97:$A$99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TABLE'!$B$97:$B$99</c:f>
              <c:numCache>
                <c:formatCode>0.00%</c:formatCode>
                <c:ptCount val="2"/>
                <c:pt idx="0">
                  <c:v>0.51900000000000002</c:v>
                </c:pt>
                <c:pt idx="1">
                  <c:v>0.48099999999999998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2E2-8F57-5FB00BA0B1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94444444444444"/>
          <c:y val="0.38788130650335373"/>
          <c:w val="0.27638888888888891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Occupation impact</a:t>
            </a:r>
          </a:p>
        </c:rich>
      </c:tx>
      <c:layout>
        <c:manualLayout>
          <c:xMode val="edge"/>
          <c:yMode val="edge"/>
          <c:x val="0.3137845581802274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41513560804899"/>
          <c:y val="0.14712744240303297"/>
          <c:w val="0.52008486439195101"/>
          <c:h val="0.65193132108486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TABLE'!$B$116:$B$117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TABLE'!$A$118:$A$123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TABLE'!$B$118:$B$123</c:f>
              <c:numCache>
                <c:formatCode>0.00%</c:formatCode>
                <c:ptCount val="5"/>
                <c:pt idx="0">
                  <c:v>8.8999999999999996E-2</c:v>
                </c:pt>
                <c:pt idx="1">
                  <c:v>0.1</c:v>
                </c:pt>
                <c:pt idx="2">
                  <c:v>6.4000000000000001E-2</c:v>
                </c:pt>
                <c:pt idx="3">
                  <c:v>0.126</c:v>
                </c:pt>
                <c:pt idx="4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B-4730-AE44-30C331230B0C}"/>
            </c:ext>
          </c:extLst>
        </c:ser>
        <c:ser>
          <c:idx val="1"/>
          <c:order val="1"/>
          <c:tx>
            <c:strRef>
              <c:f>'PIVOT TABLE'!$C$116:$C$117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TABLE'!$A$118:$A$123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TABLE'!$C$118:$C$123</c:f>
              <c:numCache>
                <c:formatCode>0.00%</c:formatCode>
                <c:ptCount val="5"/>
                <c:pt idx="0">
                  <c:v>8.7999999999999995E-2</c:v>
                </c:pt>
                <c:pt idx="1">
                  <c:v>7.2999999999999995E-2</c:v>
                </c:pt>
                <c:pt idx="2">
                  <c:v>5.5E-2</c:v>
                </c:pt>
                <c:pt idx="3">
                  <c:v>0.15</c:v>
                </c:pt>
                <c:pt idx="4">
                  <c:v>0.115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B-4730-AE44-30C331230B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90322703"/>
        <c:axId val="1190327503"/>
      </c:barChart>
      <c:catAx>
        <c:axId val="119032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Ocuppation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327503"/>
        <c:crosses val="autoZero"/>
        <c:auto val="1"/>
        <c:lblAlgn val="ctr"/>
        <c:lblOffset val="100"/>
        <c:noMultiLvlLbl val="0"/>
      </c:catAx>
      <c:valAx>
        <c:axId val="119032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32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Education's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TABLE'!$B$141:$B$142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TABLE'!$A$143:$A$148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TABLE'!$B$143:$B$148</c:f>
              <c:numCache>
                <c:formatCode>0.00%</c:formatCode>
                <c:ptCount val="5"/>
                <c:pt idx="0">
                  <c:v>0.13700000000000001</c:v>
                </c:pt>
                <c:pt idx="1">
                  <c:v>0.08</c:v>
                </c:pt>
                <c:pt idx="2">
                  <c:v>0.1</c:v>
                </c:pt>
                <c:pt idx="3">
                  <c:v>0.14599999999999999</c:v>
                </c:pt>
                <c:pt idx="4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6-4A05-AB59-C2EBA4827F32}"/>
            </c:ext>
          </c:extLst>
        </c:ser>
        <c:ser>
          <c:idx val="1"/>
          <c:order val="1"/>
          <c:tx>
            <c:strRef>
              <c:f>'PIVOT TABLE'!$C$141:$C$142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TABLE'!$A$143:$A$148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TABLE'!$C$143:$C$148</c:f>
              <c:numCache>
                <c:formatCode>0.00%</c:formatCode>
                <c:ptCount val="5"/>
                <c:pt idx="0">
                  <c:v>0.16900000000000001</c:v>
                </c:pt>
                <c:pt idx="1">
                  <c:v>9.4E-2</c:v>
                </c:pt>
                <c:pt idx="2">
                  <c:v>7.9000000000000001E-2</c:v>
                </c:pt>
                <c:pt idx="3">
                  <c:v>0.11899999999999999</c:v>
                </c:pt>
                <c:pt idx="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96-4A05-AB59-C2EBA4827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84432127"/>
        <c:axId val="1184434047"/>
      </c:barChart>
      <c:catAx>
        <c:axId val="118443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Education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4434047"/>
        <c:crosses val="autoZero"/>
        <c:auto val="1"/>
        <c:lblAlgn val="ctr"/>
        <c:lblOffset val="100"/>
        <c:noMultiLvlLbl val="0"/>
      </c:catAx>
      <c:valAx>
        <c:axId val="118443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4432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 sz="2000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3-4E9B-BF67-B33EE83C6675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3-4E9B-BF67-B33EE83C6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9041791"/>
        <c:axId val="2132003471"/>
      </c:barChart>
      <c:catAx>
        <c:axId val="2129041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2003471"/>
        <c:crosses val="autoZero"/>
        <c:auto val="1"/>
        <c:lblAlgn val="ctr"/>
        <c:lblOffset val="100"/>
        <c:noMultiLvlLbl val="0"/>
      </c:catAx>
      <c:valAx>
        <c:axId val="213200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29041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 sz="3200"/>
              <a:t>Customer Conmute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TABLE'!$B$27:$B$32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D-4F8B-87FA-D378E97F51F8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TABLE'!$C$27:$C$32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D-4F8B-87FA-D378E97F5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684575"/>
        <c:axId val="1936685055"/>
      </c:lineChart>
      <c:catAx>
        <c:axId val="1936684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6685055"/>
        <c:crosses val="autoZero"/>
        <c:auto val="1"/>
        <c:lblAlgn val="ctr"/>
        <c:lblOffset val="100"/>
        <c:noMultiLvlLbl val="0"/>
      </c:catAx>
      <c:valAx>
        <c:axId val="193668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668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 sz="2000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TABLE'!$B$49:$B$50</c:f>
              <c:strCache>
                <c:ptCount val="1"/>
                <c:pt idx="0">
                  <c:v>No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TABLE'!$A$51:$A$54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TABLE'!$B$51:$B$54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8-4E43-9C2C-4A60C6D1AD81}"/>
            </c:ext>
          </c:extLst>
        </c:ser>
        <c:ser>
          <c:idx val="1"/>
          <c:order val="1"/>
          <c:tx>
            <c:strRef>
              <c:f>'PIVOT TABLE'!$C$49:$C$50</c:f>
              <c:strCache>
                <c:ptCount val="1"/>
                <c:pt idx="0">
                  <c:v>Yes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TABLE'!$A$51:$A$54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TABLE'!$C$51:$C$54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8-4E43-9C2C-4A60C6D1A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1519"/>
        <c:axId val="17852959"/>
      </c:lineChart>
      <c:catAx>
        <c:axId val="1785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52959"/>
        <c:crosses val="autoZero"/>
        <c:auto val="1"/>
        <c:lblAlgn val="ctr"/>
        <c:lblOffset val="100"/>
        <c:noMultiLvlLbl val="0"/>
      </c:catAx>
      <c:valAx>
        <c:axId val="1785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5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%</a:t>
            </a:r>
            <a:r>
              <a:rPr lang="es-CO" baseline="0"/>
              <a:t> Clients per region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TABLE'!$B$71:$B$72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TABLE'!$A$73:$A$76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TABLE'!$B$73:$B$76</c:f>
              <c:numCache>
                <c:formatCode>0.00%</c:formatCode>
                <c:ptCount val="3"/>
                <c:pt idx="0">
                  <c:v>0.152</c:v>
                </c:pt>
                <c:pt idx="1">
                  <c:v>0.28799999999999998</c:v>
                </c:pt>
                <c:pt idx="2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2-43EF-9D35-E59898C17DBC}"/>
            </c:ext>
          </c:extLst>
        </c:ser>
        <c:ser>
          <c:idx val="1"/>
          <c:order val="1"/>
          <c:tx>
            <c:strRef>
              <c:f>'PIVOT TABLE'!$C$71:$C$72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TABLE'!$A$73:$A$76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TABLE'!$C$73:$C$76</c:f>
              <c:numCache>
                <c:formatCode>0.00%</c:formatCode>
                <c:ptCount val="3"/>
                <c:pt idx="0">
                  <c:v>0.14799999999999999</c:v>
                </c:pt>
                <c:pt idx="1">
                  <c:v>0.22</c:v>
                </c:pt>
                <c:pt idx="2">
                  <c:v>0.113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2-43EF-9D35-E59898C17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21696751"/>
        <c:axId val="621697231"/>
      </c:barChart>
      <c:catAx>
        <c:axId val="621696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1697231"/>
        <c:crosses val="autoZero"/>
        <c:auto val="1"/>
        <c:lblAlgn val="ctr"/>
        <c:lblOffset val="100"/>
        <c:noMultiLvlLbl val="0"/>
      </c:catAx>
      <c:valAx>
        <c:axId val="6216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1696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/>
              <a:t>%</a:t>
            </a:r>
            <a:r>
              <a:rPr lang="en-US" sz="3200" baseline="0"/>
              <a:t> of purchases</a:t>
            </a:r>
            <a:endParaRPr lang="en-US"/>
          </a:p>
        </c:rich>
      </c:tx>
      <c:layout>
        <c:manualLayout>
          <c:xMode val="edge"/>
          <c:yMode val="edge"/>
          <c:x val="0.3948333333333332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206443569553806"/>
          <c:y val="0.20881598133566634"/>
          <c:w val="0.41843350831146103"/>
          <c:h val="0.6973891805191017"/>
        </c:manualLayout>
      </c:layout>
      <c:doughnutChart>
        <c:varyColors val="1"/>
        <c:ser>
          <c:idx val="0"/>
          <c:order val="0"/>
          <c:tx>
            <c:strRef>
              <c:f>'PIVOT TABLE'!$B$96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65-4F43-A194-F7870122956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65-4F43-A194-F787012295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TABLE'!$A$97:$A$99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TABLE'!$B$97:$B$99</c:f>
              <c:numCache>
                <c:formatCode>0.00%</c:formatCode>
                <c:ptCount val="2"/>
                <c:pt idx="0">
                  <c:v>0.51900000000000002</c:v>
                </c:pt>
                <c:pt idx="1">
                  <c:v>0.48099999999999998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65-4F43-A194-F787012295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94444444444444"/>
          <c:y val="0.38788130650335373"/>
          <c:w val="0.27638888888888891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Occupation impact</a:t>
            </a:r>
          </a:p>
        </c:rich>
      </c:tx>
      <c:layout>
        <c:manualLayout>
          <c:xMode val="edge"/>
          <c:yMode val="edge"/>
          <c:x val="0.3137845581802274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41513560804899"/>
          <c:y val="0.14712744240303297"/>
          <c:w val="0.52008486439195101"/>
          <c:h val="0.65193132108486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TABLE'!$B$116:$B$117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TABLE'!$A$118:$A$123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TABLE'!$B$118:$B$123</c:f>
              <c:numCache>
                <c:formatCode>0.00%</c:formatCode>
                <c:ptCount val="5"/>
                <c:pt idx="0">
                  <c:v>8.8999999999999996E-2</c:v>
                </c:pt>
                <c:pt idx="1">
                  <c:v>0.1</c:v>
                </c:pt>
                <c:pt idx="2">
                  <c:v>6.4000000000000001E-2</c:v>
                </c:pt>
                <c:pt idx="3">
                  <c:v>0.126</c:v>
                </c:pt>
                <c:pt idx="4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7-40ED-B8BF-7BEE4DE621BC}"/>
            </c:ext>
          </c:extLst>
        </c:ser>
        <c:ser>
          <c:idx val="1"/>
          <c:order val="1"/>
          <c:tx>
            <c:strRef>
              <c:f>'PIVOT TABLE'!$C$116:$C$117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TABLE'!$A$118:$A$123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TABLE'!$C$118:$C$123</c:f>
              <c:numCache>
                <c:formatCode>0.00%</c:formatCode>
                <c:ptCount val="5"/>
                <c:pt idx="0">
                  <c:v>8.7999999999999995E-2</c:v>
                </c:pt>
                <c:pt idx="1">
                  <c:v>7.2999999999999995E-2</c:v>
                </c:pt>
                <c:pt idx="2">
                  <c:v>5.5E-2</c:v>
                </c:pt>
                <c:pt idx="3">
                  <c:v>0.15</c:v>
                </c:pt>
                <c:pt idx="4">
                  <c:v>0.115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7-40ED-B8BF-7BEE4DE62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90322703"/>
        <c:axId val="1190327503"/>
      </c:barChart>
      <c:catAx>
        <c:axId val="119032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Ocuppation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327503"/>
        <c:crosses val="autoZero"/>
        <c:auto val="1"/>
        <c:lblAlgn val="ctr"/>
        <c:lblOffset val="100"/>
        <c:noMultiLvlLbl val="0"/>
      </c:catAx>
      <c:valAx>
        <c:axId val="119032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32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Education's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TABLE'!$B$141:$B$142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TABLE'!$A$143:$A$148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TABLE'!$B$143:$B$148</c:f>
              <c:numCache>
                <c:formatCode>0.00%</c:formatCode>
                <c:ptCount val="5"/>
                <c:pt idx="0">
                  <c:v>0.13700000000000001</c:v>
                </c:pt>
                <c:pt idx="1">
                  <c:v>0.08</c:v>
                </c:pt>
                <c:pt idx="2">
                  <c:v>0.1</c:v>
                </c:pt>
                <c:pt idx="3">
                  <c:v>0.14599999999999999</c:v>
                </c:pt>
                <c:pt idx="4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6-479E-9781-35CB297CB757}"/>
            </c:ext>
          </c:extLst>
        </c:ser>
        <c:ser>
          <c:idx val="1"/>
          <c:order val="1"/>
          <c:tx>
            <c:strRef>
              <c:f>'PIVOT TABLE'!$C$141:$C$142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TABLE'!$A$143:$A$148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TABLE'!$C$143:$C$148</c:f>
              <c:numCache>
                <c:formatCode>0.00%</c:formatCode>
                <c:ptCount val="5"/>
                <c:pt idx="0">
                  <c:v>0.16900000000000001</c:v>
                </c:pt>
                <c:pt idx="1">
                  <c:v>9.4E-2</c:v>
                </c:pt>
                <c:pt idx="2">
                  <c:v>7.9000000000000001E-2</c:v>
                </c:pt>
                <c:pt idx="3">
                  <c:v>0.11899999999999999</c:v>
                </c:pt>
                <c:pt idx="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6-479E-9781-35CB297CB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84432127"/>
        <c:axId val="1184434047"/>
      </c:barChart>
      <c:catAx>
        <c:axId val="118443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Education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4434047"/>
        <c:crosses val="autoZero"/>
        <c:auto val="1"/>
        <c:lblAlgn val="ctr"/>
        <c:lblOffset val="100"/>
        <c:noMultiLvlLbl val="0"/>
      </c:catAx>
      <c:valAx>
        <c:axId val="118443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4432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8</xdr:row>
      <xdr:rowOff>14287</xdr:rowOff>
    </xdr:from>
    <xdr:to>
      <xdr:col>4</xdr:col>
      <xdr:colOff>304800</xdr:colOff>
      <xdr:row>22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565B80-5CFD-78D9-DCE9-018097A47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32</xdr:row>
      <xdr:rowOff>176212</xdr:rowOff>
    </xdr:from>
    <xdr:to>
      <xdr:col>4</xdr:col>
      <xdr:colOff>409575</xdr:colOff>
      <xdr:row>47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0C2726-A712-F56F-85CF-293E957A3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71437</xdr:rowOff>
    </xdr:from>
    <xdr:to>
      <xdr:col>4</xdr:col>
      <xdr:colOff>352425</xdr:colOff>
      <xdr:row>68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B0B551-B911-E451-CECF-F238D2A60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76</xdr:row>
      <xdr:rowOff>101970</xdr:rowOff>
    </xdr:from>
    <xdr:to>
      <xdr:col>5</xdr:col>
      <xdr:colOff>128868</xdr:colOff>
      <xdr:row>93</xdr:row>
      <xdr:rowOff>67233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74AC100-E680-DFE7-082F-733FFC0BE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99</xdr:row>
      <xdr:rowOff>124385</xdr:rowOff>
    </xdr:from>
    <xdr:to>
      <xdr:col>4</xdr:col>
      <xdr:colOff>459441</xdr:colOff>
      <xdr:row>114</xdr:row>
      <xdr:rowOff>10085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9E425DA-B6DB-F17C-511C-6CB7B365F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95249</xdr:colOff>
      <xdr:row>123</xdr:row>
      <xdr:rowOff>169207</xdr:rowOff>
    </xdr:from>
    <xdr:to>
      <xdr:col>4</xdr:col>
      <xdr:colOff>240925</xdr:colOff>
      <xdr:row>138</xdr:row>
      <xdr:rowOff>54907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EEBBD83-5D7B-7A23-5B85-E21A4B640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409014</xdr:colOff>
      <xdr:row>149</xdr:row>
      <xdr:rowOff>101972</xdr:rowOff>
    </xdr:from>
    <xdr:to>
      <xdr:col>4</xdr:col>
      <xdr:colOff>554690</xdr:colOff>
      <xdr:row>163</xdr:row>
      <xdr:rowOff>178172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B9F7F23-4F45-1A3A-C541-3D5CE4CD7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81642</xdr:colOff>
      <xdr:row>6</xdr:row>
      <xdr:rowOff>47625</xdr:rowOff>
    </xdr:from>
    <xdr:to>
      <xdr:col>8</xdr:col>
      <xdr:colOff>681317</xdr:colOff>
      <xdr:row>25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02C46D-D053-40AA-996A-38257587D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26</xdr:row>
      <xdr:rowOff>38100</xdr:rowOff>
    </xdr:from>
    <xdr:to>
      <xdr:col>14</xdr:col>
      <xdr:colOff>723900</xdr:colOff>
      <xdr:row>41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A75761-E67B-4665-9CAE-13751D942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6</xdr:row>
      <xdr:rowOff>38100</xdr:rowOff>
    </xdr:from>
    <xdr:to>
      <xdr:col>14</xdr:col>
      <xdr:colOff>742950</xdr:colOff>
      <xdr:row>25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8F2B4-B691-424D-90BA-9ED267AF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16327</xdr:colOff>
      <xdr:row>6</xdr:row>
      <xdr:rowOff>66676</xdr:rowOff>
    </xdr:from>
    <xdr:to>
      <xdr:col>3</xdr:col>
      <xdr:colOff>40820</xdr:colOff>
      <xdr:row>11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58DCB6AE-39D2-C4D6-556A-BD2EBEC782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27" y="1209676"/>
              <a:ext cx="2310493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39460</xdr:colOff>
      <xdr:row>18</xdr:row>
      <xdr:rowOff>80282</xdr:rowOff>
    </xdr:from>
    <xdr:to>
      <xdr:col>3</xdr:col>
      <xdr:colOff>13607</xdr:colOff>
      <xdr:row>27</xdr:row>
      <xdr:rowOff>54429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CFCC4ACC-80AA-16EA-BF68-149C19B2A7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60" y="3509282"/>
              <a:ext cx="1851933" cy="16886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39461</xdr:colOff>
      <xdr:row>11</xdr:row>
      <xdr:rowOff>107497</xdr:rowOff>
    </xdr:from>
    <xdr:to>
      <xdr:col>3</xdr:col>
      <xdr:colOff>40821</xdr:colOff>
      <xdr:row>18</xdr:row>
      <xdr:rowOff>27215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237DE5B1-3130-3FB8-BD06-4D7BC6D8A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61" y="2202997"/>
              <a:ext cx="1851932" cy="1253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31296</xdr:colOff>
      <xdr:row>27</xdr:row>
      <xdr:rowOff>78922</xdr:rowOff>
    </xdr:from>
    <xdr:to>
      <xdr:col>3</xdr:col>
      <xdr:colOff>0</xdr:colOff>
      <xdr:row>32</xdr:row>
      <xdr:rowOff>40822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Home Owner">
              <a:extLst>
                <a:ext uri="{FF2B5EF4-FFF2-40B4-BE49-F238E27FC236}">
                  <a16:creationId xmlns:a16="http://schemas.microsoft.com/office/drawing/2014/main" id="{51CD8C9B-BDA2-C818-1CD8-2016F513F7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me Own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96" y="5222422"/>
              <a:ext cx="1860097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58511</xdr:colOff>
      <xdr:row>32</xdr:row>
      <xdr:rowOff>78922</xdr:rowOff>
    </xdr:from>
    <xdr:to>
      <xdr:col>3</xdr:col>
      <xdr:colOff>0</xdr:colOff>
      <xdr:row>40</xdr:row>
      <xdr:rowOff>108858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rs">
              <a:extLst>
                <a:ext uri="{FF2B5EF4-FFF2-40B4-BE49-F238E27FC236}">
                  <a16:creationId xmlns:a16="http://schemas.microsoft.com/office/drawing/2014/main" id="{12692421-9718-B0EA-6433-50C323B3BB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511" y="6174922"/>
              <a:ext cx="2227489" cy="15539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27213</xdr:colOff>
      <xdr:row>6</xdr:row>
      <xdr:rowOff>40822</xdr:rowOff>
    </xdr:from>
    <xdr:to>
      <xdr:col>22</xdr:col>
      <xdr:colOff>163284</xdr:colOff>
      <xdr:row>25</xdr:row>
      <xdr:rowOff>149679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9FA070C-EC91-4B75-9360-70AAABB93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13606</xdr:colOff>
      <xdr:row>25</xdr:row>
      <xdr:rowOff>158486</xdr:rowOff>
    </xdr:from>
    <xdr:to>
      <xdr:col>22</xdr:col>
      <xdr:colOff>163285</xdr:colOff>
      <xdr:row>41</xdr:row>
      <xdr:rowOff>81643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253CF83-2DB2-4837-B3B8-574E79398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54429</xdr:colOff>
      <xdr:row>41</xdr:row>
      <xdr:rowOff>121665</xdr:rowOff>
    </xdr:from>
    <xdr:to>
      <xdr:col>12</xdr:col>
      <xdr:colOff>163287</xdr:colOff>
      <xdr:row>56</xdr:row>
      <xdr:rowOff>7365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081EC15-9FEF-4E79-941D-050613FF2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232122</xdr:colOff>
      <xdr:row>41</xdr:row>
      <xdr:rowOff>122466</xdr:rowOff>
    </xdr:from>
    <xdr:to>
      <xdr:col>22</xdr:col>
      <xdr:colOff>163286</xdr:colOff>
      <xdr:row>56</xdr:row>
      <xdr:rowOff>8166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53BEA46-E9BC-403F-9DAE-DEB80C9CB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7317" refreshedDate="45950.493999305552" createdVersion="8" refreshedVersion="8" minRefreshableVersion="3" recordCount="1000" xr:uid="{1849BD6C-71E5-4B76-93E6-316FD3A459EF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9">
        <s v="Middle Age"/>
        <s v="Old"/>
        <s v="Adolescent"/>
        <s v="Middled Age" u="1"/>
        <s v="Middled Age (31 - 55)" u="1"/>
        <s v="Old (+55)" u="1"/>
        <s v="Adolescent (0-30)" u="1"/>
        <s v="Young adult (18 - 30)" u="1"/>
        <s v="Young adult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5101965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x v="0"/>
    <x v="0"/>
    <x v="0"/>
    <x v="0"/>
    <x v="0"/>
    <n v="42"/>
    <x v="0"/>
    <x v="0"/>
  </r>
  <r>
    <n v="24107"/>
    <x v="0"/>
    <x v="1"/>
    <n v="30000"/>
    <n v="3"/>
    <x v="1"/>
    <x v="1"/>
    <x v="0"/>
    <x v="1"/>
    <x v="0"/>
    <x v="0"/>
    <n v="43"/>
    <x v="0"/>
    <x v="0"/>
  </r>
  <r>
    <n v="14177"/>
    <x v="0"/>
    <x v="1"/>
    <n v="80000"/>
    <n v="5"/>
    <x v="1"/>
    <x v="2"/>
    <x v="1"/>
    <x v="2"/>
    <x v="1"/>
    <x v="0"/>
    <n v="60"/>
    <x v="1"/>
    <x v="0"/>
  </r>
  <r>
    <n v="24381"/>
    <x v="1"/>
    <x v="1"/>
    <n v="70000"/>
    <n v="0"/>
    <x v="0"/>
    <x v="2"/>
    <x v="0"/>
    <x v="1"/>
    <x v="2"/>
    <x v="1"/>
    <n v="41"/>
    <x v="0"/>
    <x v="1"/>
  </r>
  <r>
    <n v="25597"/>
    <x v="1"/>
    <x v="1"/>
    <n v="30000"/>
    <n v="0"/>
    <x v="0"/>
    <x v="1"/>
    <x v="1"/>
    <x v="0"/>
    <x v="0"/>
    <x v="0"/>
    <n v="36"/>
    <x v="0"/>
    <x v="1"/>
  </r>
  <r>
    <n v="13507"/>
    <x v="0"/>
    <x v="0"/>
    <n v="10000"/>
    <n v="2"/>
    <x v="1"/>
    <x v="3"/>
    <x v="0"/>
    <x v="0"/>
    <x v="3"/>
    <x v="0"/>
    <n v="50"/>
    <x v="0"/>
    <x v="0"/>
  </r>
  <r>
    <n v="27974"/>
    <x v="1"/>
    <x v="1"/>
    <n v="160000"/>
    <n v="2"/>
    <x v="2"/>
    <x v="4"/>
    <x v="0"/>
    <x v="3"/>
    <x v="0"/>
    <x v="1"/>
    <n v="33"/>
    <x v="0"/>
    <x v="1"/>
  </r>
  <r>
    <n v="19364"/>
    <x v="0"/>
    <x v="1"/>
    <n v="40000"/>
    <n v="1"/>
    <x v="0"/>
    <x v="0"/>
    <x v="0"/>
    <x v="0"/>
    <x v="0"/>
    <x v="0"/>
    <n v="43"/>
    <x v="0"/>
    <x v="1"/>
  </r>
  <r>
    <n v="22155"/>
    <x v="0"/>
    <x v="1"/>
    <n v="20000"/>
    <n v="2"/>
    <x v="3"/>
    <x v="1"/>
    <x v="0"/>
    <x v="2"/>
    <x v="2"/>
    <x v="1"/>
    <n v="58"/>
    <x v="1"/>
    <x v="0"/>
  </r>
  <r>
    <n v="19280"/>
    <x v="0"/>
    <x v="1"/>
    <n v="120000"/>
    <n v="2"/>
    <x v="1"/>
    <x v="3"/>
    <x v="0"/>
    <x v="1"/>
    <x v="0"/>
    <x v="0"/>
    <n v="40"/>
    <x v="0"/>
    <x v="1"/>
  </r>
  <r>
    <n v="22173"/>
    <x v="0"/>
    <x v="0"/>
    <n v="30000"/>
    <n v="3"/>
    <x v="2"/>
    <x v="0"/>
    <x v="1"/>
    <x v="2"/>
    <x v="3"/>
    <x v="1"/>
    <n v="54"/>
    <x v="0"/>
    <x v="1"/>
  </r>
  <r>
    <n v="12697"/>
    <x v="1"/>
    <x v="0"/>
    <n v="90000"/>
    <n v="0"/>
    <x v="0"/>
    <x v="2"/>
    <x v="1"/>
    <x v="3"/>
    <x v="4"/>
    <x v="1"/>
    <n v="36"/>
    <x v="0"/>
    <x v="0"/>
  </r>
  <r>
    <n v="11434"/>
    <x v="0"/>
    <x v="1"/>
    <n v="170000"/>
    <n v="5"/>
    <x v="1"/>
    <x v="2"/>
    <x v="0"/>
    <x v="0"/>
    <x v="0"/>
    <x v="0"/>
    <n v="55"/>
    <x v="1"/>
    <x v="0"/>
  </r>
  <r>
    <n v="25323"/>
    <x v="0"/>
    <x v="1"/>
    <n v="40000"/>
    <n v="2"/>
    <x v="1"/>
    <x v="1"/>
    <x v="0"/>
    <x v="1"/>
    <x v="3"/>
    <x v="0"/>
    <n v="35"/>
    <x v="0"/>
    <x v="1"/>
  </r>
  <r>
    <n v="23542"/>
    <x v="1"/>
    <x v="1"/>
    <n v="60000"/>
    <n v="1"/>
    <x v="1"/>
    <x v="0"/>
    <x v="1"/>
    <x v="1"/>
    <x v="0"/>
    <x v="1"/>
    <n v="45"/>
    <x v="0"/>
    <x v="1"/>
  </r>
  <r>
    <n v="20870"/>
    <x v="1"/>
    <x v="0"/>
    <n v="10000"/>
    <n v="2"/>
    <x v="2"/>
    <x v="3"/>
    <x v="0"/>
    <x v="1"/>
    <x v="0"/>
    <x v="0"/>
    <n v="38"/>
    <x v="0"/>
    <x v="1"/>
  </r>
  <r>
    <n v="23316"/>
    <x v="1"/>
    <x v="1"/>
    <n v="30000"/>
    <n v="3"/>
    <x v="1"/>
    <x v="1"/>
    <x v="1"/>
    <x v="2"/>
    <x v="3"/>
    <x v="1"/>
    <n v="59"/>
    <x v="1"/>
    <x v="1"/>
  </r>
  <r>
    <n v="12610"/>
    <x v="0"/>
    <x v="0"/>
    <n v="30000"/>
    <n v="1"/>
    <x v="0"/>
    <x v="1"/>
    <x v="0"/>
    <x v="0"/>
    <x v="0"/>
    <x v="0"/>
    <n v="47"/>
    <x v="0"/>
    <x v="0"/>
  </r>
  <r>
    <n v="27183"/>
    <x v="1"/>
    <x v="1"/>
    <n v="40000"/>
    <n v="2"/>
    <x v="1"/>
    <x v="1"/>
    <x v="0"/>
    <x v="1"/>
    <x v="3"/>
    <x v="0"/>
    <n v="35"/>
    <x v="0"/>
    <x v="1"/>
  </r>
  <r>
    <n v="25940"/>
    <x v="1"/>
    <x v="1"/>
    <n v="20000"/>
    <n v="2"/>
    <x v="3"/>
    <x v="1"/>
    <x v="0"/>
    <x v="2"/>
    <x v="2"/>
    <x v="1"/>
    <n v="55"/>
    <x v="1"/>
    <x v="1"/>
  </r>
  <r>
    <n v="25598"/>
    <x v="0"/>
    <x v="0"/>
    <n v="40000"/>
    <n v="0"/>
    <x v="4"/>
    <x v="1"/>
    <x v="0"/>
    <x v="0"/>
    <x v="0"/>
    <x v="0"/>
    <n v="36"/>
    <x v="0"/>
    <x v="1"/>
  </r>
  <r>
    <n v="21564"/>
    <x v="1"/>
    <x v="0"/>
    <n v="80000"/>
    <n v="0"/>
    <x v="0"/>
    <x v="2"/>
    <x v="0"/>
    <x v="3"/>
    <x v="4"/>
    <x v="1"/>
    <n v="35"/>
    <x v="0"/>
    <x v="0"/>
  </r>
  <r>
    <n v="19193"/>
    <x v="1"/>
    <x v="1"/>
    <n v="40000"/>
    <n v="2"/>
    <x v="1"/>
    <x v="1"/>
    <x v="0"/>
    <x v="0"/>
    <x v="3"/>
    <x v="0"/>
    <n v="35"/>
    <x v="0"/>
    <x v="1"/>
  </r>
  <r>
    <n v="26412"/>
    <x v="0"/>
    <x v="0"/>
    <n v="80000"/>
    <n v="5"/>
    <x v="2"/>
    <x v="4"/>
    <x v="1"/>
    <x v="4"/>
    <x v="2"/>
    <x v="0"/>
    <n v="56"/>
    <x v="1"/>
    <x v="0"/>
  </r>
  <r>
    <n v="27184"/>
    <x v="1"/>
    <x v="1"/>
    <n v="40000"/>
    <n v="2"/>
    <x v="1"/>
    <x v="1"/>
    <x v="1"/>
    <x v="1"/>
    <x v="0"/>
    <x v="0"/>
    <n v="34"/>
    <x v="0"/>
    <x v="0"/>
  </r>
  <r>
    <n v="12590"/>
    <x v="1"/>
    <x v="1"/>
    <n v="30000"/>
    <n v="1"/>
    <x v="0"/>
    <x v="1"/>
    <x v="0"/>
    <x v="0"/>
    <x v="0"/>
    <x v="0"/>
    <n v="63"/>
    <x v="1"/>
    <x v="0"/>
  </r>
  <r>
    <n v="17841"/>
    <x v="1"/>
    <x v="1"/>
    <n v="30000"/>
    <n v="0"/>
    <x v="1"/>
    <x v="1"/>
    <x v="1"/>
    <x v="1"/>
    <x v="0"/>
    <x v="0"/>
    <n v="29"/>
    <x v="2"/>
    <x v="1"/>
  </r>
  <r>
    <n v="18283"/>
    <x v="1"/>
    <x v="0"/>
    <n v="100000"/>
    <n v="0"/>
    <x v="0"/>
    <x v="2"/>
    <x v="1"/>
    <x v="1"/>
    <x v="2"/>
    <x v="1"/>
    <n v="40"/>
    <x v="0"/>
    <x v="0"/>
  </r>
  <r>
    <n v="18299"/>
    <x v="0"/>
    <x v="1"/>
    <n v="70000"/>
    <n v="5"/>
    <x v="1"/>
    <x v="0"/>
    <x v="0"/>
    <x v="2"/>
    <x v="2"/>
    <x v="1"/>
    <n v="44"/>
    <x v="0"/>
    <x v="0"/>
  </r>
  <r>
    <n v="16466"/>
    <x v="1"/>
    <x v="0"/>
    <n v="20000"/>
    <n v="0"/>
    <x v="3"/>
    <x v="3"/>
    <x v="1"/>
    <x v="2"/>
    <x v="0"/>
    <x v="0"/>
    <n v="32"/>
    <x v="0"/>
    <x v="1"/>
  </r>
  <r>
    <n v="19273"/>
    <x v="0"/>
    <x v="0"/>
    <n v="20000"/>
    <n v="2"/>
    <x v="1"/>
    <x v="3"/>
    <x v="0"/>
    <x v="0"/>
    <x v="0"/>
    <x v="0"/>
    <n v="63"/>
    <x v="1"/>
    <x v="0"/>
  </r>
  <r>
    <n v="22400"/>
    <x v="0"/>
    <x v="1"/>
    <n v="10000"/>
    <n v="0"/>
    <x v="1"/>
    <x v="3"/>
    <x v="1"/>
    <x v="1"/>
    <x v="0"/>
    <x v="1"/>
    <n v="26"/>
    <x v="2"/>
    <x v="1"/>
  </r>
  <r>
    <n v="20942"/>
    <x v="1"/>
    <x v="0"/>
    <n v="20000"/>
    <n v="0"/>
    <x v="2"/>
    <x v="3"/>
    <x v="1"/>
    <x v="1"/>
    <x v="2"/>
    <x v="0"/>
    <n v="31"/>
    <x v="0"/>
    <x v="0"/>
  </r>
  <r>
    <n v="18484"/>
    <x v="1"/>
    <x v="1"/>
    <n v="80000"/>
    <n v="2"/>
    <x v="2"/>
    <x v="0"/>
    <x v="1"/>
    <x v="2"/>
    <x v="3"/>
    <x v="1"/>
    <n v="50"/>
    <x v="0"/>
    <x v="1"/>
  </r>
  <r>
    <n v="12291"/>
    <x v="1"/>
    <x v="1"/>
    <n v="90000"/>
    <n v="5"/>
    <x v="1"/>
    <x v="2"/>
    <x v="1"/>
    <x v="2"/>
    <x v="1"/>
    <x v="0"/>
    <n v="62"/>
    <x v="1"/>
    <x v="1"/>
  </r>
  <r>
    <n v="28380"/>
    <x v="1"/>
    <x v="0"/>
    <n v="10000"/>
    <n v="5"/>
    <x v="3"/>
    <x v="3"/>
    <x v="1"/>
    <x v="2"/>
    <x v="0"/>
    <x v="0"/>
    <n v="41"/>
    <x v="0"/>
    <x v="0"/>
  </r>
  <r>
    <n v="17891"/>
    <x v="0"/>
    <x v="0"/>
    <n v="10000"/>
    <n v="2"/>
    <x v="1"/>
    <x v="3"/>
    <x v="0"/>
    <x v="1"/>
    <x v="0"/>
    <x v="0"/>
    <n v="50"/>
    <x v="0"/>
    <x v="1"/>
  </r>
  <r>
    <n v="27832"/>
    <x v="1"/>
    <x v="0"/>
    <n v="30000"/>
    <n v="0"/>
    <x v="1"/>
    <x v="1"/>
    <x v="1"/>
    <x v="1"/>
    <x v="1"/>
    <x v="0"/>
    <n v="30"/>
    <x v="2"/>
    <x v="0"/>
  </r>
  <r>
    <n v="26863"/>
    <x v="1"/>
    <x v="1"/>
    <n v="20000"/>
    <n v="0"/>
    <x v="2"/>
    <x v="3"/>
    <x v="1"/>
    <x v="1"/>
    <x v="1"/>
    <x v="0"/>
    <n v="28"/>
    <x v="2"/>
    <x v="0"/>
  </r>
  <r>
    <n v="16259"/>
    <x v="1"/>
    <x v="0"/>
    <n v="10000"/>
    <n v="4"/>
    <x v="3"/>
    <x v="3"/>
    <x v="0"/>
    <x v="2"/>
    <x v="0"/>
    <x v="0"/>
    <n v="40"/>
    <x v="0"/>
    <x v="1"/>
  </r>
  <r>
    <n v="27803"/>
    <x v="1"/>
    <x v="0"/>
    <n v="30000"/>
    <n v="2"/>
    <x v="1"/>
    <x v="1"/>
    <x v="1"/>
    <x v="0"/>
    <x v="0"/>
    <x v="0"/>
    <n v="43"/>
    <x v="0"/>
    <x v="0"/>
  </r>
  <r>
    <n v="14347"/>
    <x v="1"/>
    <x v="0"/>
    <n v="40000"/>
    <n v="2"/>
    <x v="0"/>
    <x v="4"/>
    <x v="0"/>
    <x v="2"/>
    <x v="2"/>
    <x v="1"/>
    <n v="65"/>
    <x v="1"/>
    <x v="1"/>
  </r>
  <r>
    <n v="17703"/>
    <x v="0"/>
    <x v="0"/>
    <n v="10000"/>
    <n v="1"/>
    <x v="4"/>
    <x v="3"/>
    <x v="0"/>
    <x v="0"/>
    <x v="0"/>
    <x v="0"/>
    <n v="40"/>
    <x v="0"/>
    <x v="0"/>
  </r>
  <r>
    <n v="17185"/>
    <x v="0"/>
    <x v="0"/>
    <n v="170000"/>
    <n v="4"/>
    <x v="1"/>
    <x v="2"/>
    <x v="1"/>
    <x v="4"/>
    <x v="2"/>
    <x v="0"/>
    <n v="48"/>
    <x v="0"/>
    <x v="1"/>
  </r>
  <r>
    <n v="29380"/>
    <x v="0"/>
    <x v="0"/>
    <n v="20000"/>
    <n v="3"/>
    <x v="2"/>
    <x v="3"/>
    <x v="0"/>
    <x v="0"/>
    <x v="0"/>
    <x v="0"/>
    <n v="41"/>
    <x v="0"/>
    <x v="1"/>
  </r>
  <r>
    <n v="23986"/>
    <x v="0"/>
    <x v="0"/>
    <n v="20000"/>
    <n v="1"/>
    <x v="0"/>
    <x v="1"/>
    <x v="0"/>
    <x v="0"/>
    <x v="0"/>
    <x v="0"/>
    <n v="66"/>
    <x v="1"/>
    <x v="1"/>
  </r>
  <r>
    <n v="24466"/>
    <x v="0"/>
    <x v="0"/>
    <n v="60000"/>
    <n v="1"/>
    <x v="1"/>
    <x v="0"/>
    <x v="0"/>
    <x v="1"/>
    <x v="2"/>
    <x v="1"/>
    <n v="46"/>
    <x v="0"/>
    <x v="1"/>
  </r>
  <r>
    <n v="29097"/>
    <x v="1"/>
    <x v="0"/>
    <n v="40000"/>
    <n v="2"/>
    <x v="1"/>
    <x v="0"/>
    <x v="0"/>
    <x v="2"/>
    <x v="2"/>
    <x v="1"/>
    <n v="52"/>
    <x v="0"/>
    <x v="1"/>
  </r>
  <r>
    <n v="19487"/>
    <x v="0"/>
    <x v="1"/>
    <n v="30000"/>
    <n v="2"/>
    <x v="1"/>
    <x v="1"/>
    <x v="1"/>
    <x v="2"/>
    <x v="0"/>
    <x v="0"/>
    <n v="42"/>
    <x v="0"/>
    <x v="0"/>
  </r>
  <r>
    <n v="14939"/>
    <x v="1"/>
    <x v="1"/>
    <n v="40000"/>
    <n v="0"/>
    <x v="0"/>
    <x v="1"/>
    <x v="0"/>
    <x v="0"/>
    <x v="0"/>
    <x v="0"/>
    <n v="39"/>
    <x v="0"/>
    <x v="1"/>
  </r>
  <r>
    <n v="13826"/>
    <x v="1"/>
    <x v="0"/>
    <n v="30000"/>
    <n v="0"/>
    <x v="1"/>
    <x v="1"/>
    <x v="1"/>
    <x v="1"/>
    <x v="0"/>
    <x v="0"/>
    <n v="28"/>
    <x v="2"/>
    <x v="0"/>
  </r>
  <r>
    <n v="20619"/>
    <x v="1"/>
    <x v="1"/>
    <n v="80000"/>
    <n v="0"/>
    <x v="0"/>
    <x v="2"/>
    <x v="1"/>
    <x v="3"/>
    <x v="4"/>
    <x v="1"/>
    <n v="35"/>
    <x v="0"/>
    <x v="0"/>
  </r>
  <r>
    <n v="12558"/>
    <x v="0"/>
    <x v="0"/>
    <n v="20000"/>
    <n v="1"/>
    <x v="0"/>
    <x v="1"/>
    <x v="0"/>
    <x v="0"/>
    <x v="0"/>
    <x v="0"/>
    <n v="65"/>
    <x v="1"/>
    <x v="0"/>
  </r>
  <r>
    <n v="24871"/>
    <x v="1"/>
    <x v="0"/>
    <n v="90000"/>
    <n v="4"/>
    <x v="2"/>
    <x v="4"/>
    <x v="1"/>
    <x v="4"/>
    <x v="2"/>
    <x v="0"/>
    <n v="56"/>
    <x v="1"/>
    <x v="0"/>
  </r>
  <r>
    <n v="17319"/>
    <x v="1"/>
    <x v="0"/>
    <n v="70000"/>
    <n v="0"/>
    <x v="0"/>
    <x v="2"/>
    <x v="1"/>
    <x v="1"/>
    <x v="2"/>
    <x v="1"/>
    <n v="42"/>
    <x v="0"/>
    <x v="0"/>
  </r>
  <r>
    <n v="28906"/>
    <x v="0"/>
    <x v="1"/>
    <n v="80000"/>
    <n v="4"/>
    <x v="2"/>
    <x v="2"/>
    <x v="0"/>
    <x v="2"/>
    <x v="4"/>
    <x v="0"/>
    <n v="54"/>
    <x v="0"/>
    <x v="0"/>
  </r>
  <r>
    <n v="12808"/>
    <x v="0"/>
    <x v="1"/>
    <n v="40000"/>
    <n v="0"/>
    <x v="0"/>
    <x v="1"/>
    <x v="0"/>
    <x v="0"/>
    <x v="0"/>
    <x v="0"/>
    <n v="38"/>
    <x v="0"/>
    <x v="1"/>
  </r>
  <r>
    <n v="20567"/>
    <x v="0"/>
    <x v="1"/>
    <n v="130000"/>
    <n v="4"/>
    <x v="1"/>
    <x v="2"/>
    <x v="1"/>
    <x v="3"/>
    <x v="2"/>
    <x v="0"/>
    <n v="61"/>
    <x v="1"/>
    <x v="1"/>
  </r>
  <r>
    <n v="25502"/>
    <x v="0"/>
    <x v="0"/>
    <n v="40000"/>
    <n v="1"/>
    <x v="0"/>
    <x v="0"/>
    <x v="0"/>
    <x v="0"/>
    <x v="0"/>
    <x v="0"/>
    <n v="43"/>
    <x v="0"/>
    <x v="1"/>
  </r>
  <r>
    <n v="15580"/>
    <x v="0"/>
    <x v="1"/>
    <n v="60000"/>
    <n v="2"/>
    <x v="0"/>
    <x v="2"/>
    <x v="0"/>
    <x v="1"/>
    <x v="1"/>
    <x v="1"/>
    <n v="38"/>
    <x v="0"/>
    <x v="1"/>
  </r>
  <r>
    <n v="24185"/>
    <x v="1"/>
    <x v="0"/>
    <n v="10000"/>
    <n v="1"/>
    <x v="2"/>
    <x v="3"/>
    <x v="1"/>
    <x v="1"/>
    <x v="3"/>
    <x v="0"/>
    <n v="45"/>
    <x v="0"/>
    <x v="0"/>
  </r>
  <r>
    <n v="19291"/>
    <x v="1"/>
    <x v="0"/>
    <n v="10000"/>
    <n v="2"/>
    <x v="2"/>
    <x v="3"/>
    <x v="0"/>
    <x v="0"/>
    <x v="0"/>
    <x v="0"/>
    <n v="35"/>
    <x v="0"/>
    <x v="0"/>
  </r>
  <r>
    <n v="16713"/>
    <x v="0"/>
    <x v="1"/>
    <n v="40000"/>
    <n v="2"/>
    <x v="0"/>
    <x v="4"/>
    <x v="0"/>
    <x v="1"/>
    <x v="0"/>
    <x v="1"/>
    <n v="52"/>
    <x v="0"/>
    <x v="1"/>
  </r>
  <r>
    <n v="16185"/>
    <x v="1"/>
    <x v="1"/>
    <n v="60000"/>
    <n v="4"/>
    <x v="0"/>
    <x v="2"/>
    <x v="0"/>
    <x v="4"/>
    <x v="4"/>
    <x v="1"/>
    <n v="41"/>
    <x v="0"/>
    <x v="0"/>
  </r>
  <r>
    <n v="14927"/>
    <x v="0"/>
    <x v="0"/>
    <n v="30000"/>
    <n v="1"/>
    <x v="0"/>
    <x v="1"/>
    <x v="0"/>
    <x v="0"/>
    <x v="0"/>
    <x v="0"/>
    <n v="37"/>
    <x v="0"/>
    <x v="1"/>
  </r>
  <r>
    <n v="29337"/>
    <x v="1"/>
    <x v="1"/>
    <n v="30000"/>
    <n v="2"/>
    <x v="1"/>
    <x v="1"/>
    <x v="0"/>
    <x v="2"/>
    <x v="2"/>
    <x v="1"/>
    <n v="68"/>
    <x v="1"/>
    <x v="0"/>
  </r>
  <r>
    <n v="29355"/>
    <x v="0"/>
    <x v="0"/>
    <n v="40000"/>
    <n v="0"/>
    <x v="4"/>
    <x v="1"/>
    <x v="0"/>
    <x v="0"/>
    <x v="0"/>
    <x v="0"/>
    <n v="37"/>
    <x v="0"/>
    <x v="1"/>
  </r>
  <r>
    <n v="25303"/>
    <x v="1"/>
    <x v="1"/>
    <n v="30000"/>
    <n v="0"/>
    <x v="2"/>
    <x v="3"/>
    <x v="0"/>
    <x v="1"/>
    <x v="1"/>
    <x v="0"/>
    <n v="33"/>
    <x v="0"/>
    <x v="1"/>
  </r>
  <r>
    <n v="14813"/>
    <x v="1"/>
    <x v="0"/>
    <n v="20000"/>
    <n v="4"/>
    <x v="2"/>
    <x v="3"/>
    <x v="0"/>
    <x v="1"/>
    <x v="0"/>
    <x v="0"/>
    <n v="43"/>
    <x v="0"/>
    <x v="1"/>
  </r>
  <r>
    <n v="16438"/>
    <x v="0"/>
    <x v="0"/>
    <n v="10000"/>
    <n v="0"/>
    <x v="3"/>
    <x v="3"/>
    <x v="1"/>
    <x v="2"/>
    <x v="0"/>
    <x v="0"/>
    <n v="30"/>
    <x v="2"/>
    <x v="0"/>
  </r>
  <r>
    <n v="14238"/>
    <x v="0"/>
    <x v="1"/>
    <n v="120000"/>
    <n v="0"/>
    <x v="3"/>
    <x v="2"/>
    <x v="0"/>
    <x v="3"/>
    <x v="4"/>
    <x v="1"/>
    <n v="36"/>
    <x v="0"/>
    <x v="1"/>
  </r>
  <r>
    <n v="16200"/>
    <x v="1"/>
    <x v="0"/>
    <n v="10000"/>
    <n v="0"/>
    <x v="3"/>
    <x v="3"/>
    <x v="1"/>
    <x v="2"/>
    <x v="0"/>
    <x v="0"/>
    <n v="35"/>
    <x v="0"/>
    <x v="0"/>
  </r>
  <r>
    <n v="24857"/>
    <x v="0"/>
    <x v="0"/>
    <n v="130000"/>
    <n v="3"/>
    <x v="2"/>
    <x v="2"/>
    <x v="0"/>
    <x v="3"/>
    <x v="0"/>
    <x v="0"/>
    <n v="52"/>
    <x v="0"/>
    <x v="0"/>
  </r>
  <r>
    <n v="26956"/>
    <x v="1"/>
    <x v="0"/>
    <n v="20000"/>
    <n v="0"/>
    <x v="1"/>
    <x v="3"/>
    <x v="1"/>
    <x v="1"/>
    <x v="1"/>
    <x v="0"/>
    <n v="36"/>
    <x v="0"/>
    <x v="1"/>
  </r>
  <r>
    <n v="14517"/>
    <x v="0"/>
    <x v="0"/>
    <n v="20000"/>
    <n v="3"/>
    <x v="2"/>
    <x v="0"/>
    <x v="1"/>
    <x v="2"/>
    <x v="3"/>
    <x v="1"/>
    <n v="62"/>
    <x v="1"/>
    <x v="0"/>
  </r>
  <r>
    <n v="12678"/>
    <x v="1"/>
    <x v="0"/>
    <n v="130000"/>
    <n v="4"/>
    <x v="2"/>
    <x v="4"/>
    <x v="0"/>
    <x v="3"/>
    <x v="0"/>
    <x v="1"/>
    <n v="31"/>
    <x v="0"/>
    <x v="0"/>
  </r>
  <r>
    <n v="16188"/>
    <x v="1"/>
    <x v="0"/>
    <n v="20000"/>
    <n v="0"/>
    <x v="3"/>
    <x v="3"/>
    <x v="1"/>
    <x v="2"/>
    <x v="3"/>
    <x v="0"/>
    <n v="26"/>
    <x v="2"/>
    <x v="0"/>
  </r>
  <r>
    <n v="27969"/>
    <x v="0"/>
    <x v="1"/>
    <n v="80000"/>
    <n v="0"/>
    <x v="0"/>
    <x v="2"/>
    <x v="0"/>
    <x v="2"/>
    <x v="4"/>
    <x v="1"/>
    <n v="29"/>
    <x v="2"/>
    <x v="1"/>
  </r>
  <r>
    <n v="15752"/>
    <x v="0"/>
    <x v="1"/>
    <n v="80000"/>
    <n v="2"/>
    <x v="2"/>
    <x v="0"/>
    <x v="1"/>
    <x v="2"/>
    <x v="3"/>
    <x v="1"/>
    <n v="50"/>
    <x v="0"/>
    <x v="1"/>
  </r>
  <r>
    <n v="27745"/>
    <x v="1"/>
    <x v="1"/>
    <n v="40000"/>
    <n v="2"/>
    <x v="0"/>
    <x v="4"/>
    <x v="0"/>
    <x v="2"/>
    <x v="2"/>
    <x v="1"/>
    <n v="63"/>
    <x v="1"/>
    <x v="1"/>
  </r>
  <r>
    <n v="20828"/>
    <x v="0"/>
    <x v="0"/>
    <n v="30000"/>
    <n v="4"/>
    <x v="4"/>
    <x v="1"/>
    <x v="0"/>
    <x v="0"/>
    <x v="0"/>
    <x v="0"/>
    <n v="45"/>
    <x v="0"/>
    <x v="1"/>
  </r>
  <r>
    <n v="19461"/>
    <x v="1"/>
    <x v="0"/>
    <n v="10000"/>
    <n v="4"/>
    <x v="3"/>
    <x v="3"/>
    <x v="0"/>
    <x v="2"/>
    <x v="0"/>
    <x v="0"/>
    <n v="40"/>
    <x v="0"/>
    <x v="0"/>
  </r>
  <r>
    <n v="26941"/>
    <x v="0"/>
    <x v="1"/>
    <n v="30000"/>
    <n v="0"/>
    <x v="0"/>
    <x v="1"/>
    <x v="0"/>
    <x v="0"/>
    <x v="0"/>
    <x v="0"/>
    <n v="47"/>
    <x v="0"/>
    <x v="1"/>
  </r>
  <r>
    <n v="28412"/>
    <x v="1"/>
    <x v="1"/>
    <n v="20000"/>
    <n v="0"/>
    <x v="2"/>
    <x v="3"/>
    <x v="1"/>
    <x v="1"/>
    <x v="1"/>
    <x v="0"/>
    <n v="29"/>
    <x v="2"/>
    <x v="0"/>
  </r>
  <r>
    <n v="24485"/>
    <x v="1"/>
    <x v="1"/>
    <n v="40000"/>
    <n v="2"/>
    <x v="0"/>
    <x v="4"/>
    <x v="1"/>
    <x v="1"/>
    <x v="2"/>
    <x v="1"/>
    <n v="52"/>
    <x v="0"/>
    <x v="1"/>
  </r>
  <r>
    <n v="16514"/>
    <x v="1"/>
    <x v="1"/>
    <n v="10000"/>
    <n v="0"/>
    <x v="1"/>
    <x v="3"/>
    <x v="0"/>
    <x v="1"/>
    <x v="3"/>
    <x v="1"/>
    <n v="26"/>
    <x v="2"/>
    <x v="1"/>
  </r>
  <r>
    <n v="17191"/>
    <x v="1"/>
    <x v="1"/>
    <n v="130000"/>
    <n v="3"/>
    <x v="1"/>
    <x v="2"/>
    <x v="1"/>
    <x v="4"/>
    <x v="0"/>
    <x v="0"/>
    <n v="51"/>
    <x v="0"/>
    <x v="1"/>
  </r>
  <r>
    <n v="19608"/>
    <x v="0"/>
    <x v="1"/>
    <n v="80000"/>
    <n v="5"/>
    <x v="0"/>
    <x v="2"/>
    <x v="0"/>
    <x v="3"/>
    <x v="3"/>
    <x v="1"/>
    <n v="40"/>
    <x v="0"/>
    <x v="0"/>
  </r>
  <r>
    <n v="24119"/>
    <x v="1"/>
    <x v="1"/>
    <n v="30000"/>
    <n v="0"/>
    <x v="1"/>
    <x v="1"/>
    <x v="1"/>
    <x v="1"/>
    <x v="1"/>
    <x v="0"/>
    <n v="29"/>
    <x v="2"/>
    <x v="0"/>
  </r>
  <r>
    <n v="25458"/>
    <x v="0"/>
    <x v="1"/>
    <n v="20000"/>
    <n v="1"/>
    <x v="2"/>
    <x v="3"/>
    <x v="1"/>
    <x v="1"/>
    <x v="3"/>
    <x v="0"/>
    <n v="40"/>
    <x v="0"/>
    <x v="1"/>
  </r>
  <r>
    <n v="26886"/>
    <x v="1"/>
    <x v="0"/>
    <n v="30000"/>
    <n v="0"/>
    <x v="1"/>
    <x v="1"/>
    <x v="1"/>
    <x v="1"/>
    <x v="0"/>
    <x v="0"/>
    <n v="29"/>
    <x v="2"/>
    <x v="1"/>
  </r>
  <r>
    <n v="28436"/>
    <x v="1"/>
    <x v="1"/>
    <n v="30000"/>
    <n v="0"/>
    <x v="1"/>
    <x v="1"/>
    <x v="1"/>
    <x v="1"/>
    <x v="0"/>
    <x v="0"/>
    <n v="30"/>
    <x v="2"/>
    <x v="1"/>
  </r>
  <r>
    <n v="19562"/>
    <x v="1"/>
    <x v="0"/>
    <n v="60000"/>
    <n v="2"/>
    <x v="0"/>
    <x v="2"/>
    <x v="0"/>
    <x v="1"/>
    <x v="1"/>
    <x v="1"/>
    <n v="37"/>
    <x v="0"/>
    <x v="1"/>
  </r>
  <r>
    <n v="15608"/>
    <x v="1"/>
    <x v="0"/>
    <n v="30000"/>
    <n v="0"/>
    <x v="1"/>
    <x v="1"/>
    <x v="1"/>
    <x v="1"/>
    <x v="1"/>
    <x v="0"/>
    <n v="33"/>
    <x v="0"/>
    <x v="0"/>
  </r>
  <r>
    <n v="16487"/>
    <x v="1"/>
    <x v="0"/>
    <n v="30000"/>
    <n v="3"/>
    <x v="2"/>
    <x v="0"/>
    <x v="0"/>
    <x v="2"/>
    <x v="2"/>
    <x v="1"/>
    <n v="55"/>
    <x v="1"/>
    <x v="0"/>
  </r>
  <r>
    <n v="17197"/>
    <x v="1"/>
    <x v="0"/>
    <n v="90000"/>
    <n v="5"/>
    <x v="1"/>
    <x v="2"/>
    <x v="0"/>
    <x v="2"/>
    <x v="4"/>
    <x v="0"/>
    <n v="62"/>
    <x v="1"/>
    <x v="0"/>
  </r>
  <r>
    <n v="12507"/>
    <x v="0"/>
    <x v="1"/>
    <n v="30000"/>
    <n v="1"/>
    <x v="1"/>
    <x v="1"/>
    <x v="0"/>
    <x v="1"/>
    <x v="0"/>
    <x v="0"/>
    <n v="43"/>
    <x v="0"/>
    <x v="0"/>
  </r>
  <r>
    <n v="23940"/>
    <x v="0"/>
    <x v="1"/>
    <n v="40000"/>
    <n v="1"/>
    <x v="0"/>
    <x v="0"/>
    <x v="0"/>
    <x v="1"/>
    <x v="0"/>
    <x v="0"/>
    <n v="44"/>
    <x v="0"/>
    <x v="1"/>
  </r>
  <r>
    <n v="19441"/>
    <x v="0"/>
    <x v="1"/>
    <n v="40000"/>
    <n v="0"/>
    <x v="4"/>
    <x v="1"/>
    <x v="0"/>
    <x v="0"/>
    <x v="0"/>
    <x v="0"/>
    <n v="25"/>
    <x v="2"/>
    <x v="1"/>
  </r>
  <r>
    <n v="26852"/>
    <x v="0"/>
    <x v="0"/>
    <n v="20000"/>
    <n v="3"/>
    <x v="2"/>
    <x v="3"/>
    <x v="0"/>
    <x v="2"/>
    <x v="0"/>
    <x v="0"/>
    <n v="43"/>
    <x v="0"/>
    <x v="0"/>
  </r>
  <r>
    <n v="12274"/>
    <x v="1"/>
    <x v="1"/>
    <n v="10000"/>
    <n v="2"/>
    <x v="2"/>
    <x v="3"/>
    <x v="0"/>
    <x v="0"/>
    <x v="0"/>
    <x v="0"/>
    <n v="35"/>
    <x v="0"/>
    <x v="0"/>
  </r>
  <r>
    <n v="20236"/>
    <x v="1"/>
    <x v="1"/>
    <n v="60000"/>
    <n v="3"/>
    <x v="0"/>
    <x v="2"/>
    <x v="1"/>
    <x v="2"/>
    <x v="0"/>
    <x v="1"/>
    <n v="43"/>
    <x v="0"/>
    <x v="1"/>
  </r>
  <r>
    <n v="24149"/>
    <x v="0"/>
    <x v="1"/>
    <n v="10000"/>
    <n v="2"/>
    <x v="1"/>
    <x v="3"/>
    <x v="0"/>
    <x v="0"/>
    <x v="3"/>
    <x v="0"/>
    <n v="49"/>
    <x v="0"/>
    <x v="0"/>
  </r>
  <r>
    <n v="26139"/>
    <x v="1"/>
    <x v="1"/>
    <n v="60000"/>
    <n v="1"/>
    <x v="1"/>
    <x v="0"/>
    <x v="0"/>
    <x v="1"/>
    <x v="2"/>
    <x v="1"/>
    <n v="45"/>
    <x v="0"/>
    <x v="0"/>
  </r>
  <r>
    <n v="18491"/>
    <x v="1"/>
    <x v="0"/>
    <n v="70000"/>
    <n v="2"/>
    <x v="2"/>
    <x v="2"/>
    <x v="0"/>
    <x v="2"/>
    <x v="2"/>
    <x v="1"/>
    <n v="49"/>
    <x v="0"/>
    <x v="1"/>
  </r>
  <r>
    <n v="22707"/>
    <x v="1"/>
    <x v="0"/>
    <n v="30000"/>
    <n v="0"/>
    <x v="1"/>
    <x v="1"/>
    <x v="1"/>
    <x v="1"/>
    <x v="1"/>
    <x v="0"/>
    <n v="30"/>
    <x v="2"/>
    <x v="0"/>
  </r>
  <r>
    <n v="20430"/>
    <x v="0"/>
    <x v="1"/>
    <n v="70000"/>
    <n v="2"/>
    <x v="1"/>
    <x v="0"/>
    <x v="0"/>
    <x v="2"/>
    <x v="2"/>
    <x v="1"/>
    <n v="52"/>
    <x v="0"/>
    <x v="1"/>
  </r>
  <r>
    <n v="27494"/>
    <x v="1"/>
    <x v="0"/>
    <n v="40000"/>
    <n v="2"/>
    <x v="1"/>
    <x v="0"/>
    <x v="1"/>
    <x v="2"/>
    <x v="3"/>
    <x v="1"/>
    <n v="53"/>
    <x v="0"/>
    <x v="1"/>
  </r>
  <r>
    <n v="26829"/>
    <x v="0"/>
    <x v="0"/>
    <n v="40000"/>
    <n v="0"/>
    <x v="0"/>
    <x v="1"/>
    <x v="0"/>
    <x v="0"/>
    <x v="0"/>
    <x v="0"/>
    <n v="38"/>
    <x v="0"/>
    <x v="1"/>
  </r>
  <r>
    <n v="28395"/>
    <x v="1"/>
    <x v="1"/>
    <n v="40000"/>
    <n v="0"/>
    <x v="0"/>
    <x v="2"/>
    <x v="1"/>
    <x v="0"/>
    <x v="0"/>
    <x v="0"/>
    <n v="39"/>
    <x v="0"/>
    <x v="1"/>
  </r>
  <r>
    <n v="21006"/>
    <x v="1"/>
    <x v="0"/>
    <n v="30000"/>
    <n v="1"/>
    <x v="1"/>
    <x v="3"/>
    <x v="1"/>
    <x v="0"/>
    <x v="0"/>
    <x v="0"/>
    <n v="46"/>
    <x v="0"/>
    <x v="1"/>
  </r>
  <r>
    <n v="14682"/>
    <x v="1"/>
    <x v="0"/>
    <n v="70000"/>
    <n v="0"/>
    <x v="0"/>
    <x v="2"/>
    <x v="1"/>
    <x v="1"/>
    <x v="2"/>
    <x v="1"/>
    <n v="38"/>
    <x v="0"/>
    <x v="0"/>
  </r>
  <r>
    <n v="17650"/>
    <x v="1"/>
    <x v="0"/>
    <n v="40000"/>
    <n v="2"/>
    <x v="1"/>
    <x v="1"/>
    <x v="0"/>
    <x v="2"/>
    <x v="3"/>
    <x v="0"/>
    <n v="35"/>
    <x v="0"/>
    <x v="0"/>
  </r>
  <r>
    <n v="29191"/>
    <x v="1"/>
    <x v="0"/>
    <n v="130000"/>
    <n v="1"/>
    <x v="4"/>
    <x v="4"/>
    <x v="1"/>
    <x v="1"/>
    <x v="0"/>
    <x v="1"/>
    <n v="36"/>
    <x v="0"/>
    <x v="1"/>
  </r>
  <r>
    <n v="15030"/>
    <x v="0"/>
    <x v="1"/>
    <n v="20000"/>
    <n v="0"/>
    <x v="0"/>
    <x v="1"/>
    <x v="0"/>
    <x v="0"/>
    <x v="0"/>
    <x v="1"/>
    <n v="26"/>
    <x v="2"/>
    <x v="1"/>
  </r>
  <r>
    <n v="24140"/>
    <x v="1"/>
    <x v="1"/>
    <n v="10000"/>
    <n v="0"/>
    <x v="4"/>
    <x v="3"/>
    <x v="1"/>
    <x v="0"/>
    <x v="0"/>
    <x v="0"/>
    <n v="30"/>
    <x v="2"/>
    <x v="1"/>
  </r>
  <r>
    <n v="22496"/>
    <x v="0"/>
    <x v="0"/>
    <n v="30000"/>
    <n v="1"/>
    <x v="0"/>
    <x v="0"/>
    <x v="0"/>
    <x v="2"/>
    <x v="0"/>
    <x v="0"/>
    <n v="42"/>
    <x v="0"/>
    <x v="0"/>
  </r>
  <r>
    <n v="24065"/>
    <x v="1"/>
    <x v="0"/>
    <n v="20000"/>
    <n v="0"/>
    <x v="2"/>
    <x v="3"/>
    <x v="0"/>
    <x v="0"/>
    <x v="0"/>
    <x v="0"/>
    <n v="40"/>
    <x v="0"/>
    <x v="1"/>
  </r>
  <r>
    <n v="19914"/>
    <x v="0"/>
    <x v="1"/>
    <n v="80000"/>
    <n v="5"/>
    <x v="0"/>
    <x v="4"/>
    <x v="0"/>
    <x v="2"/>
    <x v="1"/>
    <x v="0"/>
    <n v="62"/>
    <x v="1"/>
    <x v="0"/>
  </r>
  <r>
    <n v="12871"/>
    <x v="1"/>
    <x v="0"/>
    <n v="30000"/>
    <n v="0"/>
    <x v="1"/>
    <x v="1"/>
    <x v="1"/>
    <x v="1"/>
    <x v="1"/>
    <x v="0"/>
    <n v="29"/>
    <x v="2"/>
    <x v="0"/>
  </r>
  <r>
    <n v="22988"/>
    <x v="0"/>
    <x v="0"/>
    <n v="40000"/>
    <n v="2"/>
    <x v="0"/>
    <x v="4"/>
    <x v="0"/>
    <x v="2"/>
    <x v="2"/>
    <x v="1"/>
    <n v="66"/>
    <x v="1"/>
    <x v="1"/>
  </r>
  <r>
    <n v="15922"/>
    <x v="0"/>
    <x v="1"/>
    <n v="150000"/>
    <n v="2"/>
    <x v="2"/>
    <x v="2"/>
    <x v="0"/>
    <x v="3"/>
    <x v="0"/>
    <x v="0"/>
    <n v="48"/>
    <x v="0"/>
    <x v="0"/>
  </r>
  <r>
    <n v="12344"/>
    <x v="1"/>
    <x v="0"/>
    <n v="80000"/>
    <n v="0"/>
    <x v="0"/>
    <x v="2"/>
    <x v="1"/>
    <x v="4"/>
    <x v="4"/>
    <x v="1"/>
    <n v="31"/>
    <x v="0"/>
    <x v="0"/>
  </r>
  <r>
    <n v="23627"/>
    <x v="1"/>
    <x v="0"/>
    <n v="100000"/>
    <n v="3"/>
    <x v="1"/>
    <x v="4"/>
    <x v="1"/>
    <x v="3"/>
    <x v="2"/>
    <x v="0"/>
    <n v="56"/>
    <x v="1"/>
    <x v="0"/>
  </r>
  <r>
    <n v="27775"/>
    <x v="1"/>
    <x v="0"/>
    <n v="40000"/>
    <n v="0"/>
    <x v="0"/>
    <x v="1"/>
    <x v="1"/>
    <x v="0"/>
    <x v="0"/>
    <x v="0"/>
    <n v="38"/>
    <x v="0"/>
    <x v="1"/>
  </r>
  <r>
    <n v="29301"/>
    <x v="0"/>
    <x v="1"/>
    <n v="80000"/>
    <n v="5"/>
    <x v="0"/>
    <x v="2"/>
    <x v="0"/>
    <x v="3"/>
    <x v="3"/>
    <x v="1"/>
    <n v="40"/>
    <x v="0"/>
    <x v="0"/>
  </r>
  <r>
    <n v="12716"/>
    <x v="1"/>
    <x v="1"/>
    <n v="30000"/>
    <n v="0"/>
    <x v="1"/>
    <x v="1"/>
    <x v="0"/>
    <x v="1"/>
    <x v="1"/>
    <x v="0"/>
    <n v="32"/>
    <x v="0"/>
    <x v="0"/>
  </r>
  <r>
    <n v="12472"/>
    <x v="0"/>
    <x v="1"/>
    <n v="30000"/>
    <n v="1"/>
    <x v="0"/>
    <x v="1"/>
    <x v="0"/>
    <x v="1"/>
    <x v="1"/>
    <x v="0"/>
    <n v="39"/>
    <x v="0"/>
    <x v="0"/>
  </r>
  <r>
    <n v="20970"/>
    <x v="1"/>
    <x v="1"/>
    <n v="10000"/>
    <n v="2"/>
    <x v="1"/>
    <x v="3"/>
    <x v="0"/>
    <x v="1"/>
    <x v="0"/>
    <x v="0"/>
    <n v="52"/>
    <x v="0"/>
    <x v="1"/>
  </r>
  <r>
    <n v="26818"/>
    <x v="1"/>
    <x v="1"/>
    <n v="10000"/>
    <n v="3"/>
    <x v="2"/>
    <x v="3"/>
    <x v="0"/>
    <x v="1"/>
    <x v="0"/>
    <x v="0"/>
    <n v="39"/>
    <x v="0"/>
    <x v="1"/>
  </r>
  <r>
    <n v="12993"/>
    <x v="0"/>
    <x v="1"/>
    <n v="60000"/>
    <n v="2"/>
    <x v="0"/>
    <x v="2"/>
    <x v="0"/>
    <x v="1"/>
    <x v="1"/>
    <x v="1"/>
    <n v="37"/>
    <x v="0"/>
    <x v="0"/>
  </r>
  <r>
    <n v="14192"/>
    <x v="0"/>
    <x v="1"/>
    <n v="90000"/>
    <n v="4"/>
    <x v="2"/>
    <x v="4"/>
    <x v="0"/>
    <x v="4"/>
    <x v="2"/>
    <x v="0"/>
    <n v="56"/>
    <x v="1"/>
    <x v="1"/>
  </r>
  <r>
    <n v="19477"/>
    <x v="0"/>
    <x v="1"/>
    <n v="40000"/>
    <n v="0"/>
    <x v="0"/>
    <x v="2"/>
    <x v="0"/>
    <x v="0"/>
    <x v="0"/>
    <x v="0"/>
    <n v="40"/>
    <x v="0"/>
    <x v="1"/>
  </r>
  <r>
    <n v="26796"/>
    <x v="1"/>
    <x v="1"/>
    <n v="40000"/>
    <n v="2"/>
    <x v="0"/>
    <x v="4"/>
    <x v="0"/>
    <x v="2"/>
    <x v="2"/>
    <x v="1"/>
    <n v="65"/>
    <x v="1"/>
    <x v="1"/>
  </r>
  <r>
    <n v="21094"/>
    <x v="1"/>
    <x v="0"/>
    <n v="30000"/>
    <n v="2"/>
    <x v="1"/>
    <x v="1"/>
    <x v="0"/>
    <x v="2"/>
    <x v="0"/>
    <x v="0"/>
    <n v="42"/>
    <x v="0"/>
    <x v="0"/>
  </r>
  <r>
    <n v="12234"/>
    <x v="0"/>
    <x v="1"/>
    <n v="10000"/>
    <n v="2"/>
    <x v="1"/>
    <x v="3"/>
    <x v="0"/>
    <x v="1"/>
    <x v="1"/>
    <x v="0"/>
    <n v="52"/>
    <x v="0"/>
    <x v="0"/>
  </r>
  <r>
    <n v="28683"/>
    <x v="1"/>
    <x v="0"/>
    <n v="10000"/>
    <n v="1"/>
    <x v="2"/>
    <x v="3"/>
    <x v="1"/>
    <x v="1"/>
    <x v="2"/>
    <x v="0"/>
    <n v="35"/>
    <x v="0"/>
    <x v="1"/>
  </r>
  <r>
    <n v="17994"/>
    <x v="1"/>
    <x v="1"/>
    <n v="20000"/>
    <n v="2"/>
    <x v="2"/>
    <x v="3"/>
    <x v="0"/>
    <x v="2"/>
    <x v="0"/>
    <x v="0"/>
    <n v="42"/>
    <x v="0"/>
    <x v="0"/>
  </r>
  <r>
    <n v="24273"/>
    <x v="0"/>
    <x v="0"/>
    <n v="20000"/>
    <n v="2"/>
    <x v="3"/>
    <x v="1"/>
    <x v="0"/>
    <x v="2"/>
    <x v="2"/>
    <x v="1"/>
    <n v="55"/>
    <x v="1"/>
    <x v="1"/>
  </r>
  <r>
    <n v="26547"/>
    <x v="1"/>
    <x v="0"/>
    <n v="30000"/>
    <n v="2"/>
    <x v="1"/>
    <x v="1"/>
    <x v="1"/>
    <x v="2"/>
    <x v="2"/>
    <x v="1"/>
    <n v="60"/>
    <x v="1"/>
    <x v="1"/>
  </r>
  <r>
    <n v="22500"/>
    <x v="1"/>
    <x v="1"/>
    <n v="40000"/>
    <n v="0"/>
    <x v="0"/>
    <x v="2"/>
    <x v="1"/>
    <x v="0"/>
    <x v="0"/>
    <x v="0"/>
    <n v="40"/>
    <x v="0"/>
    <x v="1"/>
  </r>
  <r>
    <n v="23993"/>
    <x v="1"/>
    <x v="0"/>
    <n v="10000"/>
    <n v="0"/>
    <x v="1"/>
    <x v="3"/>
    <x v="1"/>
    <x v="1"/>
    <x v="0"/>
    <x v="1"/>
    <n v="26"/>
    <x v="2"/>
    <x v="1"/>
  </r>
  <r>
    <n v="14832"/>
    <x v="0"/>
    <x v="1"/>
    <n v="40000"/>
    <n v="1"/>
    <x v="0"/>
    <x v="0"/>
    <x v="0"/>
    <x v="0"/>
    <x v="0"/>
    <x v="0"/>
    <n v="42"/>
    <x v="0"/>
    <x v="1"/>
  </r>
  <r>
    <n v="16614"/>
    <x v="0"/>
    <x v="0"/>
    <n v="80000"/>
    <n v="0"/>
    <x v="0"/>
    <x v="2"/>
    <x v="0"/>
    <x v="4"/>
    <x v="4"/>
    <x v="1"/>
    <n v="32"/>
    <x v="0"/>
    <x v="0"/>
  </r>
  <r>
    <n v="20877"/>
    <x v="1"/>
    <x v="1"/>
    <n v="30000"/>
    <n v="1"/>
    <x v="0"/>
    <x v="1"/>
    <x v="0"/>
    <x v="0"/>
    <x v="3"/>
    <x v="0"/>
    <n v="37"/>
    <x v="0"/>
    <x v="1"/>
  </r>
  <r>
    <n v="20729"/>
    <x v="0"/>
    <x v="0"/>
    <n v="40000"/>
    <n v="2"/>
    <x v="1"/>
    <x v="1"/>
    <x v="1"/>
    <x v="1"/>
    <x v="0"/>
    <x v="0"/>
    <n v="34"/>
    <x v="0"/>
    <x v="0"/>
  </r>
  <r>
    <n v="22464"/>
    <x v="0"/>
    <x v="1"/>
    <n v="40000"/>
    <n v="0"/>
    <x v="4"/>
    <x v="1"/>
    <x v="0"/>
    <x v="0"/>
    <x v="0"/>
    <x v="0"/>
    <n v="37"/>
    <x v="0"/>
    <x v="1"/>
  </r>
  <r>
    <n v="19475"/>
    <x v="0"/>
    <x v="0"/>
    <n v="40000"/>
    <n v="0"/>
    <x v="0"/>
    <x v="2"/>
    <x v="1"/>
    <x v="0"/>
    <x v="0"/>
    <x v="0"/>
    <n v="40"/>
    <x v="0"/>
    <x v="1"/>
  </r>
  <r>
    <n v="19675"/>
    <x v="0"/>
    <x v="1"/>
    <n v="20000"/>
    <n v="4"/>
    <x v="2"/>
    <x v="0"/>
    <x v="0"/>
    <x v="2"/>
    <x v="2"/>
    <x v="1"/>
    <n v="60"/>
    <x v="1"/>
    <x v="0"/>
  </r>
  <r>
    <n v="12728"/>
    <x v="1"/>
    <x v="1"/>
    <n v="30000"/>
    <n v="0"/>
    <x v="1"/>
    <x v="1"/>
    <x v="1"/>
    <x v="1"/>
    <x v="3"/>
    <x v="0"/>
    <n v="27"/>
    <x v="2"/>
    <x v="0"/>
  </r>
  <r>
    <n v="26154"/>
    <x v="0"/>
    <x v="1"/>
    <n v="60000"/>
    <n v="1"/>
    <x v="1"/>
    <x v="0"/>
    <x v="0"/>
    <x v="1"/>
    <x v="2"/>
    <x v="1"/>
    <n v="43"/>
    <x v="0"/>
    <x v="1"/>
  </r>
  <r>
    <n v="29117"/>
    <x v="1"/>
    <x v="1"/>
    <n v="100000"/>
    <n v="1"/>
    <x v="0"/>
    <x v="4"/>
    <x v="1"/>
    <x v="4"/>
    <x v="0"/>
    <x v="1"/>
    <n v="48"/>
    <x v="0"/>
    <x v="0"/>
  </r>
  <r>
    <n v="17845"/>
    <x v="1"/>
    <x v="0"/>
    <n v="20000"/>
    <n v="0"/>
    <x v="3"/>
    <x v="3"/>
    <x v="1"/>
    <x v="2"/>
    <x v="3"/>
    <x v="0"/>
    <n v="32"/>
    <x v="0"/>
    <x v="0"/>
  </r>
  <r>
    <n v="25058"/>
    <x v="0"/>
    <x v="1"/>
    <n v="100000"/>
    <n v="1"/>
    <x v="0"/>
    <x v="4"/>
    <x v="0"/>
    <x v="4"/>
    <x v="1"/>
    <x v="1"/>
    <n v="47"/>
    <x v="0"/>
    <x v="0"/>
  </r>
  <r>
    <n v="23426"/>
    <x v="1"/>
    <x v="1"/>
    <n v="80000"/>
    <n v="5"/>
    <x v="4"/>
    <x v="4"/>
    <x v="0"/>
    <x v="4"/>
    <x v="0"/>
    <x v="1"/>
    <n v="40"/>
    <x v="0"/>
    <x v="0"/>
  </r>
  <r>
    <n v="14798"/>
    <x v="1"/>
    <x v="0"/>
    <n v="10000"/>
    <n v="4"/>
    <x v="3"/>
    <x v="3"/>
    <x v="0"/>
    <x v="2"/>
    <x v="0"/>
    <x v="0"/>
    <n v="41"/>
    <x v="0"/>
    <x v="1"/>
  </r>
  <r>
    <n v="12664"/>
    <x v="0"/>
    <x v="0"/>
    <n v="130000"/>
    <n v="5"/>
    <x v="1"/>
    <x v="2"/>
    <x v="0"/>
    <x v="3"/>
    <x v="0"/>
    <x v="0"/>
    <n v="59"/>
    <x v="1"/>
    <x v="0"/>
  </r>
  <r>
    <n v="23979"/>
    <x v="1"/>
    <x v="1"/>
    <n v="10000"/>
    <n v="2"/>
    <x v="1"/>
    <x v="3"/>
    <x v="1"/>
    <x v="0"/>
    <x v="0"/>
    <x v="0"/>
    <n v="50"/>
    <x v="0"/>
    <x v="0"/>
  </r>
  <r>
    <n v="25605"/>
    <x v="1"/>
    <x v="0"/>
    <n v="20000"/>
    <n v="2"/>
    <x v="1"/>
    <x v="3"/>
    <x v="1"/>
    <x v="1"/>
    <x v="0"/>
    <x v="0"/>
    <n v="54"/>
    <x v="0"/>
    <x v="1"/>
  </r>
  <r>
    <n v="20797"/>
    <x v="0"/>
    <x v="0"/>
    <n v="10000"/>
    <n v="1"/>
    <x v="0"/>
    <x v="3"/>
    <x v="0"/>
    <x v="0"/>
    <x v="0"/>
    <x v="0"/>
    <n v="48"/>
    <x v="0"/>
    <x v="0"/>
  </r>
  <r>
    <n v="21980"/>
    <x v="1"/>
    <x v="0"/>
    <n v="60000"/>
    <n v="1"/>
    <x v="0"/>
    <x v="2"/>
    <x v="0"/>
    <x v="1"/>
    <x v="2"/>
    <x v="1"/>
    <n v="44"/>
    <x v="0"/>
    <x v="1"/>
  </r>
  <r>
    <n v="25460"/>
    <x v="0"/>
    <x v="0"/>
    <n v="20000"/>
    <n v="2"/>
    <x v="2"/>
    <x v="3"/>
    <x v="0"/>
    <x v="0"/>
    <x v="0"/>
    <x v="0"/>
    <n v="40"/>
    <x v="0"/>
    <x v="1"/>
  </r>
  <r>
    <n v="29181"/>
    <x v="1"/>
    <x v="0"/>
    <n v="60000"/>
    <n v="2"/>
    <x v="0"/>
    <x v="2"/>
    <x v="1"/>
    <x v="1"/>
    <x v="0"/>
    <x v="1"/>
    <n v="38"/>
    <x v="0"/>
    <x v="1"/>
  </r>
  <r>
    <n v="24279"/>
    <x v="1"/>
    <x v="1"/>
    <n v="40000"/>
    <n v="2"/>
    <x v="1"/>
    <x v="0"/>
    <x v="1"/>
    <x v="2"/>
    <x v="3"/>
    <x v="1"/>
    <n v="52"/>
    <x v="0"/>
    <x v="0"/>
  </r>
  <r>
    <n v="22402"/>
    <x v="0"/>
    <x v="1"/>
    <n v="10000"/>
    <n v="0"/>
    <x v="1"/>
    <x v="3"/>
    <x v="0"/>
    <x v="1"/>
    <x v="1"/>
    <x v="1"/>
    <n v="25"/>
    <x v="2"/>
    <x v="1"/>
  </r>
  <r>
    <n v="15465"/>
    <x v="0"/>
    <x v="0"/>
    <n v="10000"/>
    <n v="0"/>
    <x v="1"/>
    <x v="3"/>
    <x v="1"/>
    <x v="1"/>
    <x v="0"/>
    <x v="1"/>
    <n v="25"/>
    <x v="2"/>
    <x v="0"/>
  </r>
  <r>
    <n v="26757"/>
    <x v="1"/>
    <x v="1"/>
    <n v="90000"/>
    <n v="1"/>
    <x v="0"/>
    <x v="2"/>
    <x v="0"/>
    <x v="1"/>
    <x v="1"/>
    <x v="1"/>
    <n v="47"/>
    <x v="0"/>
    <x v="1"/>
  </r>
  <r>
    <n v="14233"/>
    <x v="1"/>
    <x v="1"/>
    <n v="100000"/>
    <n v="0"/>
    <x v="2"/>
    <x v="4"/>
    <x v="0"/>
    <x v="4"/>
    <x v="4"/>
    <x v="1"/>
    <n v="35"/>
    <x v="0"/>
    <x v="0"/>
  </r>
  <r>
    <n v="14058"/>
    <x v="1"/>
    <x v="1"/>
    <n v="70000"/>
    <n v="0"/>
    <x v="0"/>
    <x v="2"/>
    <x v="1"/>
    <x v="1"/>
    <x v="2"/>
    <x v="1"/>
    <n v="41"/>
    <x v="0"/>
    <x v="1"/>
  </r>
  <r>
    <n v="12273"/>
    <x v="0"/>
    <x v="1"/>
    <n v="30000"/>
    <n v="1"/>
    <x v="0"/>
    <x v="1"/>
    <x v="0"/>
    <x v="0"/>
    <x v="0"/>
    <x v="0"/>
    <n v="47"/>
    <x v="0"/>
    <x v="0"/>
  </r>
  <r>
    <n v="17203"/>
    <x v="0"/>
    <x v="0"/>
    <n v="130000"/>
    <n v="4"/>
    <x v="1"/>
    <x v="2"/>
    <x v="0"/>
    <x v="3"/>
    <x v="2"/>
    <x v="0"/>
    <n v="61"/>
    <x v="1"/>
    <x v="1"/>
  </r>
  <r>
    <n v="18144"/>
    <x v="0"/>
    <x v="0"/>
    <n v="80000"/>
    <n v="5"/>
    <x v="0"/>
    <x v="4"/>
    <x v="0"/>
    <x v="2"/>
    <x v="1"/>
    <x v="0"/>
    <n v="61"/>
    <x v="1"/>
    <x v="0"/>
  </r>
  <r>
    <n v="23963"/>
    <x v="0"/>
    <x v="1"/>
    <n v="10000"/>
    <n v="0"/>
    <x v="3"/>
    <x v="3"/>
    <x v="1"/>
    <x v="2"/>
    <x v="0"/>
    <x v="0"/>
    <n v="33"/>
    <x v="0"/>
    <x v="0"/>
  </r>
  <r>
    <n v="17907"/>
    <x v="0"/>
    <x v="0"/>
    <n v="10000"/>
    <n v="0"/>
    <x v="1"/>
    <x v="3"/>
    <x v="0"/>
    <x v="1"/>
    <x v="1"/>
    <x v="1"/>
    <n v="27"/>
    <x v="2"/>
    <x v="0"/>
  </r>
  <r>
    <n v="19442"/>
    <x v="1"/>
    <x v="1"/>
    <n v="50000"/>
    <n v="0"/>
    <x v="4"/>
    <x v="0"/>
    <x v="0"/>
    <x v="0"/>
    <x v="0"/>
    <x v="0"/>
    <n v="37"/>
    <x v="0"/>
    <x v="1"/>
  </r>
  <r>
    <n v="17504"/>
    <x v="1"/>
    <x v="0"/>
    <n v="80000"/>
    <n v="2"/>
    <x v="1"/>
    <x v="0"/>
    <x v="0"/>
    <x v="2"/>
    <x v="2"/>
    <x v="1"/>
    <n v="52"/>
    <x v="0"/>
    <x v="1"/>
  </r>
  <r>
    <n v="12253"/>
    <x v="1"/>
    <x v="0"/>
    <n v="20000"/>
    <n v="0"/>
    <x v="1"/>
    <x v="3"/>
    <x v="0"/>
    <x v="0"/>
    <x v="0"/>
    <x v="1"/>
    <n v="29"/>
    <x v="2"/>
    <x v="1"/>
  </r>
  <r>
    <n v="27304"/>
    <x v="1"/>
    <x v="0"/>
    <n v="110000"/>
    <n v="2"/>
    <x v="1"/>
    <x v="2"/>
    <x v="1"/>
    <x v="4"/>
    <x v="2"/>
    <x v="0"/>
    <n v="48"/>
    <x v="0"/>
    <x v="0"/>
  </r>
  <r>
    <n v="14191"/>
    <x v="0"/>
    <x v="1"/>
    <n v="160000"/>
    <n v="4"/>
    <x v="1"/>
    <x v="2"/>
    <x v="1"/>
    <x v="2"/>
    <x v="4"/>
    <x v="0"/>
    <n v="55"/>
    <x v="1"/>
    <x v="1"/>
  </r>
  <r>
    <n v="12212"/>
    <x v="0"/>
    <x v="0"/>
    <n v="10000"/>
    <n v="0"/>
    <x v="4"/>
    <x v="3"/>
    <x v="0"/>
    <x v="0"/>
    <x v="0"/>
    <x v="0"/>
    <n v="37"/>
    <x v="0"/>
    <x v="1"/>
  </r>
  <r>
    <n v="25529"/>
    <x v="1"/>
    <x v="1"/>
    <n v="10000"/>
    <n v="1"/>
    <x v="4"/>
    <x v="3"/>
    <x v="0"/>
    <x v="0"/>
    <x v="0"/>
    <x v="0"/>
    <n v="44"/>
    <x v="0"/>
    <x v="0"/>
  </r>
  <r>
    <n v="22170"/>
    <x v="0"/>
    <x v="0"/>
    <n v="30000"/>
    <n v="3"/>
    <x v="1"/>
    <x v="1"/>
    <x v="1"/>
    <x v="2"/>
    <x v="3"/>
    <x v="1"/>
    <n v="55"/>
    <x v="1"/>
    <x v="1"/>
  </r>
  <r>
    <n v="19445"/>
    <x v="0"/>
    <x v="0"/>
    <n v="10000"/>
    <n v="2"/>
    <x v="2"/>
    <x v="3"/>
    <x v="1"/>
    <x v="1"/>
    <x v="0"/>
    <x v="0"/>
    <n v="38"/>
    <x v="0"/>
    <x v="0"/>
  </r>
  <r>
    <n v="15265"/>
    <x v="1"/>
    <x v="1"/>
    <n v="40000"/>
    <n v="2"/>
    <x v="0"/>
    <x v="4"/>
    <x v="0"/>
    <x v="2"/>
    <x v="2"/>
    <x v="1"/>
    <n v="66"/>
    <x v="1"/>
    <x v="1"/>
  </r>
  <r>
    <n v="28918"/>
    <x v="0"/>
    <x v="0"/>
    <n v="130000"/>
    <n v="4"/>
    <x v="2"/>
    <x v="4"/>
    <x v="1"/>
    <x v="3"/>
    <x v="4"/>
    <x v="0"/>
    <n v="58"/>
    <x v="1"/>
    <x v="0"/>
  </r>
  <r>
    <n v="15799"/>
    <x v="0"/>
    <x v="0"/>
    <n v="90000"/>
    <n v="1"/>
    <x v="0"/>
    <x v="2"/>
    <x v="0"/>
    <x v="1"/>
    <x v="1"/>
    <x v="1"/>
    <n v="47"/>
    <x v="0"/>
    <x v="1"/>
  </r>
  <r>
    <n v="11047"/>
    <x v="0"/>
    <x v="0"/>
    <n v="30000"/>
    <n v="3"/>
    <x v="2"/>
    <x v="0"/>
    <x v="1"/>
    <x v="2"/>
    <x v="3"/>
    <x v="1"/>
    <n v="56"/>
    <x v="1"/>
    <x v="1"/>
  </r>
  <r>
    <n v="18151"/>
    <x v="1"/>
    <x v="1"/>
    <n v="80000"/>
    <n v="5"/>
    <x v="1"/>
    <x v="2"/>
    <x v="1"/>
    <x v="2"/>
    <x v="4"/>
    <x v="0"/>
    <n v="59"/>
    <x v="1"/>
    <x v="0"/>
  </r>
  <r>
    <n v="20606"/>
    <x v="0"/>
    <x v="0"/>
    <n v="70000"/>
    <n v="0"/>
    <x v="0"/>
    <x v="2"/>
    <x v="0"/>
    <x v="3"/>
    <x v="4"/>
    <x v="1"/>
    <n v="32"/>
    <x v="0"/>
    <x v="1"/>
  </r>
  <r>
    <n v="19482"/>
    <x v="0"/>
    <x v="1"/>
    <n v="30000"/>
    <n v="1"/>
    <x v="1"/>
    <x v="1"/>
    <x v="0"/>
    <x v="1"/>
    <x v="0"/>
    <x v="0"/>
    <n v="44"/>
    <x v="0"/>
    <x v="1"/>
  </r>
  <r>
    <n v="16489"/>
    <x v="0"/>
    <x v="1"/>
    <n v="30000"/>
    <n v="3"/>
    <x v="2"/>
    <x v="0"/>
    <x v="0"/>
    <x v="2"/>
    <x v="2"/>
    <x v="1"/>
    <n v="55"/>
    <x v="1"/>
    <x v="0"/>
  </r>
  <r>
    <n v="26944"/>
    <x v="1"/>
    <x v="1"/>
    <n v="90000"/>
    <n v="2"/>
    <x v="2"/>
    <x v="3"/>
    <x v="0"/>
    <x v="0"/>
    <x v="0"/>
    <x v="0"/>
    <n v="36"/>
    <x v="0"/>
    <x v="1"/>
  </r>
  <r>
    <n v="15682"/>
    <x v="1"/>
    <x v="0"/>
    <n v="80000"/>
    <n v="5"/>
    <x v="0"/>
    <x v="4"/>
    <x v="0"/>
    <x v="2"/>
    <x v="4"/>
    <x v="0"/>
    <n v="62"/>
    <x v="1"/>
    <x v="0"/>
  </r>
  <r>
    <n v="26032"/>
    <x v="0"/>
    <x v="0"/>
    <n v="70000"/>
    <n v="5"/>
    <x v="0"/>
    <x v="2"/>
    <x v="0"/>
    <x v="3"/>
    <x v="4"/>
    <x v="1"/>
    <n v="41"/>
    <x v="0"/>
    <x v="0"/>
  </r>
  <r>
    <n v="17843"/>
    <x v="1"/>
    <x v="0"/>
    <n v="10000"/>
    <n v="0"/>
    <x v="3"/>
    <x v="3"/>
    <x v="1"/>
    <x v="2"/>
    <x v="0"/>
    <x v="0"/>
    <n v="32"/>
    <x v="0"/>
    <x v="0"/>
  </r>
  <r>
    <n v="25559"/>
    <x v="1"/>
    <x v="1"/>
    <n v="20000"/>
    <n v="0"/>
    <x v="0"/>
    <x v="1"/>
    <x v="0"/>
    <x v="0"/>
    <x v="0"/>
    <x v="1"/>
    <n v="25"/>
    <x v="2"/>
    <x v="1"/>
  </r>
  <r>
    <n v="16209"/>
    <x v="1"/>
    <x v="0"/>
    <n v="50000"/>
    <n v="0"/>
    <x v="4"/>
    <x v="0"/>
    <x v="0"/>
    <x v="0"/>
    <x v="3"/>
    <x v="0"/>
    <n v="36"/>
    <x v="0"/>
    <x v="0"/>
  </r>
  <r>
    <n v="11147"/>
    <x v="0"/>
    <x v="1"/>
    <n v="60000"/>
    <n v="2"/>
    <x v="4"/>
    <x v="4"/>
    <x v="0"/>
    <x v="1"/>
    <x v="0"/>
    <x v="1"/>
    <n v="67"/>
    <x v="1"/>
    <x v="1"/>
  </r>
  <r>
    <n v="15214"/>
    <x v="1"/>
    <x v="0"/>
    <n v="100000"/>
    <n v="0"/>
    <x v="4"/>
    <x v="4"/>
    <x v="1"/>
    <x v="1"/>
    <x v="3"/>
    <x v="1"/>
    <n v="39"/>
    <x v="0"/>
    <x v="1"/>
  </r>
  <r>
    <n v="11453"/>
    <x v="1"/>
    <x v="1"/>
    <n v="80000"/>
    <n v="0"/>
    <x v="0"/>
    <x v="2"/>
    <x v="1"/>
    <x v="4"/>
    <x v="4"/>
    <x v="1"/>
    <n v="33"/>
    <x v="0"/>
    <x v="1"/>
  </r>
  <r>
    <n v="24584"/>
    <x v="1"/>
    <x v="1"/>
    <n v="60000"/>
    <n v="0"/>
    <x v="0"/>
    <x v="2"/>
    <x v="1"/>
    <x v="4"/>
    <x v="1"/>
    <x v="1"/>
    <n v="31"/>
    <x v="0"/>
    <x v="0"/>
  </r>
  <r>
    <n v="12585"/>
    <x v="0"/>
    <x v="1"/>
    <n v="10000"/>
    <n v="1"/>
    <x v="2"/>
    <x v="3"/>
    <x v="0"/>
    <x v="0"/>
    <x v="1"/>
    <x v="1"/>
    <n v="27"/>
    <x v="2"/>
    <x v="1"/>
  </r>
  <r>
    <n v="18626"/>
    <x v="1"/>
    <x v="1"/>
    <n v="40000"/>
    <n v="2"/>
    <x v="1"/>
    <x v="1"/>
    <x v="0"/>
    <x v="0"/>
    <x v="3"/>
    <x v="0"/>
    <n v="33"/>
    <x v="0"/>
    <x v="1"/>
  </r>
  <r>
    <n v="29298"/>
    <x v="1"/>
    <x v="0"/>
    <n v="60000"/>
    <n v="1"/>
    <x v="1"/>
    <x v="0"/>
    <x v="0"/>
    <x v="1"/>
    <x v="2"/>
    <x v="1"/>
    <n v="46"/>
    <x v="0"/>
    <x v="1"/>
  </r>
  <r>
    <n v="24842"/>
    <x v="1"/>
    <x v="0"/>
    <n v="90000"/>
    <n v="3"/>
    <x v="2"/>
    <x v="2"/>
    <x v="1"/>
    <x v="1"/>
    <x v="1"/>
    <x v="0"/>
    <n v="51"/>
    <x v="0"/>
    <x v="0"/>
  </r>
  <r>
    <n v="15657"/>
    <x v="0"/>
    <x v="1"/>
    <n v="30000"/>
    <n v="3"/>
    <x v="4"/>
    <x v="1"/>
    <x v="0"/>
    <x v="0"/>
    <x v="0"/>
    <x v="0"/>
    <n v="46"/>
    <x v="0"/>
    <x v="1"/>
  </r>
  <r>
    <n v="11415"/>
    <x v="1"/>
    <x v="1"/>
    <n v="90000"/>
    <n v="5"/>
    <x v="1"/>
    <x v="2"/>
    <x v="1"/>
    <x v="2"/>
    <x v="4"/>
    <x v="0"/>
    <n v="62"/>
    <x v="1"/>
    <x v="0"/>
  </r>
  <r>
    <n v="28729"/>
    <x v="1"/>
    <x v="0"/>
    <n v="20000"/>
    <n v="0"/>
    <x v="3"/>
    <x v="3"/>
    <x v="0"/>
    <x v="2"/>
    <x v="3"/>
    <x v="0"/>
    <n v="26"/>
    <x v="2"/>
    <x v="1"/>
  </r>
  <r>
    <n v="22633"/>
    <x v="1"/>
    <x v="0"/>
    <n v="40000"/>
    <n v="0"/>
    <x v="4"/>
    <x v="1"/>
    <x v="0"/>
    <x v="0"/>
    <x v="0"/>
    <x v="0"/>
    <n v="37"/>
    <x v="0"/>
    <x v="1"/>
  </r>
  <r>
    <n v="25649"/>
    <x v="1"/>
    <x v="0"/>
    <n v="30000"/>
    <n v="3"/>
    <x v="1"/>
    <x v="1"/>
    <x v="0"/>
    <x v="0"/>
    <x v="0"/>
    <x v="0"/>
    <n v="42"/>
    <x v="0"/>
    <x v="1"/>
  </r>
  <r>
    <n v="14669"/>
    <x v="0"/>
    <x v="0"/>
    <n v="80000"/>
    <n v="4"/>
    <x v="4"/>
    <x v="4"/>
    <x v="0"/>
    <x v="1"/>
    <x v="0"/>
    <x v="1"/>
    <n v="36"/>
    <x v="0"/>
    <x v="0"/>
  </r>
  <r>
    <n v="19299"/>
    <x v="0"/>
    <x v="0"/>
    <n v="50000"/>
    <n v="0"/>
    <x v="4"/>
    <x v="0"/>
    <x v="0"/>
    <x v="0"/>
    <x v="0"/>
    <x v="0"/>
    <n v="36"/>
    <x v="0"/>
    <x v="1"/>
  </r>
  <r>
    <n v="20946"/>
    <x v="1"/>
    <x v="0"/>
    <n v="30000"/>
    <n v="0"/>
    <x v="1"/>
    <x v="1"/>
    <x v="1"/>
    <x v="1"/>
    <x v="1"/>
    <x v="0"/>
    <n v="30"/>
    <x v="2"/>
    <x v="0"/>
  </r>
  <r>
    <n v="11451"/>
    <x v="1"/>
    <x v="1"/>
    <n v="70000"/>
    <n v="0"/>
    <x v="0"/>
    <x v="2"/>
    <x v="1"/>
    <x v="3"/>
    <x v="4"/>
    <x v="1"/>
    <n v="31"/>
    <x v="0"/>
    <x v="1"/>
  </r>
  <r>
    <n v="25553"/>
    <x v="0"/>
    <x v="1"/>
    <n v="30000"/>
    <n v="1"/>
    <x v="0"/>
    <x v="1"/>
    <x v="0"/>
    <x v="0"/>
    <x v="0"/>
    <x v="0"/>
    <n v="65"/>
    <x v="1"/>
    <x v="1"/>
  </r>
  <r>
    <n v="27951"/>
    <x v="1"/>
    <x v="1"/>
    <n v="80000"/>
    <n v="4"/>
    <x v="1"/>
    <x v="2"/>
    <x v="1"/>
    <x v="2"/>
    <x v="1"/>
    <x v="0"/>
    <n v="54"/>
    <x v="0"/>
    <x v="1"/>
  </r>
  <r>
    <n v="25026"/>
    <x v="0"/>
    <x v="1"/>
    <n v="20000"/>
    <n v="2"/>
    <x v="3"/>
    <x v="1"/>
    <x v="0"/>
    <x v="4"/>
    <x v="2"/>
    <x v="1"/>
    <n v="54"/>
    <x v="0"/>
    <x v="0"/>
  </r>
  <r>
    <n v="13673"/>
    <x v="1"/>
    <x v="0"/>
    <n v="20000"/>
    <n v="0"/>
    <x v="3"/>
    <x v="3"/>
    <x v="1"/>
    <x v="2"/>
    <x v="0"/>
    <x v="0"/>
    <n v="25"/>
    <x v="2"/>
    <x v="0"/>
  </r>
  <r>
    <n v="16043"/>
    <x v="1"/>
    <x v="1"/>
    <n v="10000"/>
    <n v="1"/>
    <x v="0"/>
    <x v="3"/>
    <x v="0"/>
    <x v="0"/>
    <x v="0"/>
    <x v="0"/>
    <n v="48"/>
    <x v="0"/>
    <x v="0"/>
  </r>
  <r>
    <n v="22399"/>
    <x v="1"/>
    <x v="1"/>
    <n v="10000"/>
    <n v="0"/>
    <x v="1"/>
    <x v="3"/>
    <x v="0"/>
    <x v="1"/>
    <x v="3"/>
    <x v="1"/>
    <n v="26"/>
    <x v="2"/>
    <x v="1"/>
  </r>
  <r>
    <n v="27696"/>
    <x v="0"/>
    <x v="1"/>
    <n v="60000"/>
    <n v="1"/>
    <x v="0"/>
    <x v="2"/>
    <x v="0"/>
    <x v="1"/>
    <x v="2"/>
    <x v="1"/>
    <n v="43"/>
    <x v="0"/>
    <x v="1"/>
  </r>
  <r>
    <n v="25313"/>
    <x v="1"/>
    <x v="1"/>
    <n v="10000"/>
    <n v="0"/>
    <x v="3"/>
    <x v="3"/>
    <x v="1"/>
    <x v="2"/>
    <x v="3"/>
    <x v="0"/>
    <n v="35"/>
    <x v="0"/>
    <x v="0"/>
  </r>
  <r>
    <n v="13813"/>
    <x v="0"/>
    <x v="0"/>
    <n v="30000"/>
    <n v="3"/>
    <x v="1"/>
    <x v="1"/>
    <x v="1"/>
    <x v="0"/>
    <x v="0"/>
    <x v="0"/>
    <n v="42"/>
    <x v="0"/>
    <x v="0"/>
  </r>
  <r>
    <n v="18711"/>
    <x v="1"/>
    <x v="0"/>
    <n v="70000"/>
    <n v="5"/>
    <x v="0"/>
    <x v="2"/>
    <x v="0"/>
    <x v="3"/>
    <x v="4"/>
    <x v="1"/>
    <n v="39"/>
    <x v="0"/>
    <x v="0"/>
  </r>
  <r>
    <n v="19650"/>
    <x v="0"/>
    <x v="0"/>
    <n v="30000"/>
    <n v="2"/>
    <x v="1"/>
    <x v="1"/>
    <x v="1"/>
    <x v="2"/>
    <x v="0"/>
    <x v="1"/>
    <n v="67"/>
    <x v="1"/>
    <x v="0"/>
  </r>
  <r>
    <n v="14135"/>
    <x v="0"/>
    <x v="1"/>
    <n v="20000"/>
    <n v="1"/>
    <x v="1"/>
    <x v="3"/>
    <x v="0"/>
    <x v="0"/>
    <x v="3"/>
    <x v="0"/>
    <n v="35"/>
    <x v="0"/>
    <x v="0"/>
  </r>
  <r>
    <n v="12833"/>
    <x v="1"/>
    <x v="0"/>
    <n v="20000"/>
    <n v="3"/>
    <x v="2"/>
    <x v="3"/>
    <x v="0"/>
    <x v="1"/>
    <x v="0"/>
    <x v="0"/>
    <n v="42"/>
    <x v="0"/>
    <x v="1"/>
  </r>
  <r>
    <n v="26849"/>
    <x v="0"/>
    <x v="1"/>
    <n v="10000"/>
    <n v="3"/>
    <x v="3"/>
    <x v="3"/>
    <x v="0"/>
    <x v="2"/>
    <x v="0"/>
    <x v="0"/>
    <n v="43"/>
    <x v="0"/>
    <x v="0"/>
  </r>
  <r>
    <n v="20962"/>
    <x v="0"/>
    <x v="0"/>
    <n v="20000"/>
    <n v="1"/>
    <x v="4"/>
    <x v="1"/>
    <x v="0"/>
    <x v="0"/>
    <x v="0"/>
    <x v="0"/>
    <n v="45"/>
    <x v="0"/>
    <x v="0"/>
  </r>
  <r>
    <n v="28915"/>
    <x v="1"/>
    <x v="1"/>
    <n v="80000"/>
    <n v="5"/>
    <x v="2"/>
    <x v="4"/>
    <x v="0"/>
    <x v="4"/>
    <x v="4"/>
    <x v="0"/>
    <n v="57"/>
    <x v="1"/>
    <x v="0"/>
  </r>
  <r>
    <n v="22830"/>
    <x v="0"/>
    <x v="1"/>
    <n v="120000"/>
    <n v="4"/>
    <x v="1"/>
    <x v="4"/>
    <x v="0"/>
    <x v="4"/>
    <x v="4"/>
    <x v="0"/>
    <n v="56"/>
    <x v="1"/>
    <x v="0"/>
  </r>
  <r>
    <n v="14777"/>
    <x v="0"/>
    <x v="0"/>
    <n v="40000"/>
    <n v="0"/>
    <x v="0"/>
    <x v="1"/>
    <x v="0"/>
    <x v="0"/>
    <x v="0"/>
    <x v="0"/>
    <n v="38"/>
    <x v="0"/>
    <x v="1"/>
  </r>
  <r>
    <n v="12591"/>
    <x v="0"/>
    <x v="0"/>
    <n v="30000"/>
    <n v="4"/>
    <x v="4"/>
    <x v="1"/>
    <x v="0"/>
    <x v="0"/>
    <x v="0"/>
    <x v="0"/>
    <n v="45"/>
    <x v="0"/>
    <x v="0"/>
  </r>
  <r>
    <n v="24174"/>
    <x v="0"/>
    <x v="1"/>
    <n v="20000"/>
    <n v="0"/>
    <x v="0"/>
    <x v="1"/>
    <x v="0"/>
    <x v="0"/>
    <x v="0"/>
    <x v="1"/>
    <n v="27"/>
    <x v="2"/>
    <x v="1"/>
  </r>
  <r>
    <n v="24611"/>
    <x v="1"/>
    <x v="1"/>
    <n v="90000"/>
    <n v="0"/>
    <x v="0"/>
    <x v="2"/>
    <x v="1"/>
    <x v="3"/>
    <x v="4"/>
    <x v="1"/>
    <n v="35"/>
    <x v="0"/>
    <x v="1"/>
  </r>
  <r>
    <n v="11340"/>
    <x v="0"/>
    <x v="0"/>
    <n v="10000"/>
    <n v="1"/>
    <x v="4"/>
    <x v="1"/>
    <x v="0"/>
    <x v="0"/>
    <x v="0"/>
    <x v="0"/>
    <n v="70"/>
    <x v="1"/>
    <x v="1"/>
  </r>
  <r>
    <n v="25693"/>
    <x v="1"/>
    <x v="0"/>
    <n v="30000"/>
    <n v="5"/>
    <x v="4"/>
    <x v="1"/>
    <x v="0"/>
    <x v="0"/>
    <x v="0"/>
    <x v="0"/>
    <n v="44"/>
    <x v="0"/>
    <x v="1"/>
  </r>
  <r>
    <n v="25555"/>
    <x v="0"/>
    <x v="0"/>
    <n v="10000"/>
    <n v="0"/>
    <x v="1"/>
    <x v="3"/>
    <x v="1"/>
    <x v="1"/>
    <x v="0"/>
    <x v="1"/>
    <n v="26"/>
    <x v="2"/>
    <x v="1"/>
  </r>
  <r>
    <n v="22006"/>
    <x v="0"/>
    <x v="1"/>
    <n v="70000"/>
    <n v="5"/>
    <x v="1"/>
    <x v="0"/>
    <x v="0"/>
    <x v="4"/>
    <x v="2"/>
    <x v="1"/>
    <n v="46"/>
    <x v="0"/>
    <x v="0"/>
  </r>
  <r>
    <n v="20060"/>
    <x v="1"/>
    <x v="0"/>
    <n v="30000"/>
    <n v="0"/>
    <x v="2"/>
    <x v="3"/>
    <x v="1"/>
    <x v="1"/>
    <x v="1"/>
    <x v="0"/>
    <n v="34"/>
    <x v="0"/>
    <x v="1"/>
  </r>
  <r>
    <n v="17702"/>
    <x v="0"/>
    <x v="1"/>
    <n v="10000"/>
    <n v="1"/>
    <x v="4"/>
    <x v="3"/>
    <x v="0"/>
    <x v="0"/>
    <x v="0"/>
    <x v="0"/>
    <n v="37"/>
    <x v="0"/>
    <x v="0"/>
  </r>
  <r>
    <n v="12503"/>
    <x v="1"/>
    <x v="0"/>
    <n v="30000"/>
    <n v="3"/>
    <x v="1"/>
    <x v="1"/>
    <x v="0"/>
    <x v="2"/>
    <x v="0"/>
    <x v="0"/>
    <n v="27"/>
    <x v="2"/>
    <x v="0"/>
  </r>
  <r>
    <n v="23908"/>
    <x v="1"/>
    <x v="1"/>
    <n v="30000"/>
    <n v="1"/>
    <x v="0"/>
    <x v="1"/>
    <x v="1"/>
    <x v="1"/>
    <x v="0"/>
    <x v="0"/>
    <n v="39"/>
    <x v="0"/>
    <x v="1"/>
  </r>
  <r>
    <n v="22527"/>
    <x v="1"/>
    <x v="0"/>
    <n v="20000"/>
    <n v="0"/>
    <x v="2"/>
    <x v="3"/>
    <x v="1"/>
    <x v="1"/>
    <x v="1"/>
    <x v="0"/>
    <n v="29"/>
    <x v="2"/>
    <x v="0"/>
  </r>
  <r>
    <n v="19057"/>
    <x v="0"/>
    <x v="0"/>
    <n v="120000"/>
    <n v="3"/>
    <x v="0"/>
    <x v="4"/>
    <x v="1"/>
    <x v="2"/>
    <x v="4"/>
    <x v="0"/>
    <n v="52"/>
    <x v="0"/>
    <x v="1"/>
  </r>
  <r>
    <n v="18494"/>
    <x v="0"/>
    <x v="1"/>
    <n v="110000"/>
    <n v="5"/>
    <x v="0"/>
    <x v="4"/>
    <x v="0"/>
    <x v="3"/>
    <x v="1"/>
    <x v="1"/>
    <n v="48"/>
    <x v="0"/>
    <x v="1"/>
  </r>
  <r>
    <n v="11249"/>
    <x v="0"/>
    <x v="0"/>
    <n v="130000"/>
    <n v="3"/>
    <x v="1"/>
    <x v="2"/>
    <x v="0"/>
    <x v="4"/>
    <x v="0"/>
    <x v="0"/>
    <n v="51"/>
    <x v="0"/>
    <x v="1"/>
  </r>
  <r>
    <n v="21568"/>
    <x v="0"/>
    <x v="0"/>
    <n v="100000"/>
    <n v="0"/>
    <x v="2"/>
    <x v="4"/>
    <x v="0"/>
    <x v="3"/>
    <x v="4"/>
    <x v="1"/>
    <n v="34"/>
    <x v="0"/>
    <x v="1"/>
  </r>
  <r>
    <n v="13981"/>
    <x v="0"/>
    <x v="0"/>
    <n v="10000"/>
    <n v="5"/>
    <x v="2"/>
    <x v="0"/>
    <x v="1"/>
    <x v="4"/>
    <x v="3"/>
    <x v="1"/>
    <n v="62"/>
    <x v="1"/>
    <x v="0"/>
  </r>
  <r>
    <n v="23432"/>
    <x v="1"/>
    <x v="1"/>
    <n v="70000"/>
    <n v="0"/>
    <x v="0"/>
    <x v="2"/>
    <x v="0"/>
    <x v="1"/>
    <x v="2"/>
    <x v="1"/>
    <n v="37"/>
    <x v="0"/>
    <x v="1"/>
  </r>
  <r>
    <n v="22931"/>
    <x v="0"/>
    <x v="1"/>
    <n v="100000"/>
    <n v="5"/>
    <x v="4"/>
    <x v="4"/>
    <x v="1"/>
    <x v="1"/>
    <x v="3"/>
    <x v="1"/>
    <n v="78"/>
    <x v="1"/>
    <x v="1"/>
  </r>
  <r>
    <n v="18172"/>
    <x v="0"/>
    <x v="1"/>
    <n v="130000"/>
    <n v="4"/>
    <x v="2"/>
    <x v="2"/>
    <x v="0"/>
    <x v="4"/>
    <x v="0"/>
    <x v="0"/>
    <n v="55"/>
    <x v="1"/>
    <x v="0"/>
  </r>
  <r>
    <n v="12666"/>
    <x v="1"/>
    <x v="1"/>
    <n v="60000"/>
    <n v="0"/>
    <x v="0"/>
    <x v="2"/>
    <x v="1"/>
    <x v="3"/>
    <x v="1"/>
    <x v="1"/>
    <n v="31"/>
    <x v="0"/>
    <x v="0"/>
  </r>
  <r>
    <n v="20598"/>
    <x v="0"/>
    <x v="1"/>
    <n v="100000"/>
    <n v="3"/>
    <x v="3"/>
    <x v="2"/>
    <x v="0"/>
    <x v="0"/>
    <x v="4"/>
    <x v="0"/>
    <n v="59"/>
    <x v="1"/>
    <x v="1"/>
  </r>
  <r>
    <n v="21375"/>
    <x v="1"/>
    <x v="1"/>
    <n v="20000"/>
    <n v="2"/>
    <x v="3"/>
    <x v="1"/>
    <x v="0"/>
    <x v="2"/>
    <x v="2"/>
    <x v="1"/>
    <n v="57"/>
    <x v="1"/>
    <x v="0"/>
  </r>
  <r>
    <n v="20839"/>
    <x v="1"/>
    <x v="0"/>
    <n v="30000"/>
    <n v="3"/>
    <x v="4"/>
    <x v="1"/>
    <x v="0"/>
    <x v="0"/>
    <x v="0"/>
    <x v="0"/>
    <n v="47"/>
    <x v="0"/>
    <x v="1"/>
  </r>
  <r>
    <n v="21738"/>
    <x v="0"/>
    <x v="1"/>
    <n v="20000"/>
    <n v="1"/>
    <x v="4"/>
    <x v="1"/>
    <x v="0"/>
    <x v="0"/>
    <x v="0"/>
    <x v="0"/>
    <n v="43"/>
    <x v="0"/>
    <x v="0"/>
  </r>
  <r>
    <n v="14164"/>
    <x v="1"/>
    <x v="0"/>
    <n v="50000"/>
    <n v="0"/>
    <x v="4"/>
    <x v="0"/>
    <x v="0"/>
    <x v="0"/>
    <x v="0"/>
    <x v="0"/>
    <n v="36"/>
    <x v="0"/>
    <x v="1"/>
  </r>
  <r>
    <n v="14193"/>
    <x v="1"/>
    <x v="0"/>
    <n v="100000"/>
    <n v="3"/>
    <x v="1"/>
    <x v="4"/>
    <x v="0"/>
    <x v="3"/>
    <x v="4"/>
    <x v="0"/>
    <n v="56"/>
    <x v="1"/>
    <x v="0"/>
  </r>
  <r>
    <n v="12705"/>
    <x v="0"/>
    <x v="1"/>
    <n v="150000"/>
    <n v="0"/>
    <x v="0"/>
    <x v="4"/>
    <x v="0"/>
    <x v="3"/>
    <x v="0"/>
    <x v="1"/>
    <n v="37"/>
    <x v="0"/>
    <x v="1"/>
  </r>
  <r>
    <n v="22672"/>
    <x v="1"/>
    <x v="0"/>
    <n v="30000"/>
    <n v="2"/>
    <x v="1"/>
    <x v="1"/>
    <x v="0"/>
    <x v="0"/>
    <x v="0"/>
    <x v="0"/>
    <n v="43"/>
    <x v="0"/>
    <x v="0"/>
  </r>
  <r>
    <n v="26219"/>
    <x v="0"/>
    <x v="0"/>
    <n v="40000"/>
    <n v="1"/>
    <x v="0"/>
    <x v="0"/>
    <x v="0"/>
    <x v="1"/>
    <x v="3"/>
    <x v="0"/>
    <n v="33"/>
    <x v="0"/>
    <x v="1"/>
  </r>
  <r>
    <n v="28468"/>
    <x v="0"/>
    <x v="0"/>
    <n v="10000"/>
    <n v="2"/>
    <x v="1"/>
    <x v="3"/>
    <x v="0"/>
    <x v="0"/>
    <x v="3"/>
    <x v="0"/>
    <n v="51"/>
    <x v="0"/>
    <x v="0"/>
  </r>
  <r>
    <n v="23419"/>
    <x v="1"/>
    <x v="0"/>
    <n v="70000"/>
    <n v="5"/>
    <x v="0"/>
    <x v="2"/>
    <x v="0"/>
    <x v="4"/>
    <x v="4"/>
    <x v="1"/>
    <n v="39"/>
    <x v="0"/>
    <x v="0"/>
  </r>
  <r>
    <n v="17964"/>
    <x v="0"/>
    <x v="1"/>
    <n v="40000"/>
    <n v="0"/>
    <x v="4"/>
    <x v="1"/>
    <x v="0"/>
    <x v="0"/>
    <x v="0"/>
    <x v="0"/>
    <n v="37"/>
    <x v="0"/>
    <x v="1"/>
  </r>
  <r>
    <n v="20919"/>
    <x v="1"/>
    <x v="0"/>
    <n v="30000"/>
    <n v="2"/>
    <x v="1"/>
    <x v="1"/>
    <x v="0"/>
    <x v="2"/>
    <x v="0"/>
    <x v="0"/>
    <n v="42"/>
    <x v="0"/>
    <x v="0"/>
  </r>
  <r>
    <n v="20927"/>
    <x v="1"/>
    <x v="0"/>
    <n v="20000"/>
    <n v="5"/>
    <x v="2"/>
    <x v="3"/>
    <x v="0"/>
    <x v="2"/>
    <x v="0"/>
    <x v="0"/>
    <n v="27"/>
    <x v="2"/>
    <x v="0"/>
  </r>
  <r>
    <n v="13133"/>
    <x v="1"/>
    <x v="1"/>
    <n v="100000"/>
    <n v="5"/>
    <x v="0"/>
    <x v="2"/>
    <x v="0"/>
    <x v="1"/>
    <x v="2"/>
    <x v="1"/>
    <n v="47"/>
    <x v="0"/>
    <x v="1"/>
  </r>
  <r>
    <n v="19626"/>
    <x v="0"/>
    <x v="1"/>
    <n v="70000"/>
    <n v="5"/>
    <x v="1"/>
    <x v="0"/>
    <x v="0"/>
    <x v="4"/>
    <x v="2"/>
    <x v="1"/>
    <n v="45"/>
    <x v="0"/>
    <x v="0"/>
  </r>
  <r>
    <n v="21039"/>
    <x v="1"/>
    <x v="0"/>
    <n v="50000"/>
    <n v="0"/>
    <x v="4"/>
    <x v="0"/>
    <x v="1"/>
    <x v="0"/>
    <x v="0"/>
    <x v="0"/>
    <n v="37"/>
    <x v="0"/>
    <x v="1"/>
  </r>
  <r>
    <n v="12231"/>
    <x v="1"/>
    <x v="0"/>
    <n v="10000"/>
    <n v="2"/>
    <x v="1"/>
    <x v="3"/>
    <x v="0"/>
    <x v="0"/>
    <x v="0"/>
    <x v="0"/>
    <n v="51"/>
    <x v="0"/>
    <x v="1"/>
  </r>
  <r>
    <n v="25665"/>
    <x v="1"/>
    <x v="0"/>
    <n v="20000"/>
    <n v="0"/>
    <x v="2"/>
    <x v="3"/>
    <x v="1"/>
    <x v="1"/>
    <x v="3"/>
    <x v="0"/>
    <n v="28"/>
    <x v="2"/>
    <x v="0"/>
  </r>
  <r>
    <n v="24061"/>
    <x v="0"/>
    <x v="1"/>
    <n v="10000"/>
    <n v="4"/>
    <x v="3"/>
    <x v="3"/>
    <x v="0"/>
    <x v="1"/>
    <x v="0"/>
    <x v="0"/>
    <n v="40"/>
    <x v="0"/>
    <x v="1"/>
  </r>
  <r>
    <n v="26879"/>
    <x v="1"/>
    <x v="0"/>
    <n v="20000"/>
    <n v="0"/>
    <x v="2"/>
    <x v="3"/>
    <x v="1"/>
    <x v="1"/>
    <x v="1"/>
    <x v="0"/>
    <n v="30"/>
    <x v="2"/>
    <x v="0"/>
  </r>
  <r>
    <n v="12284"/>
    <x v="0"/>
    <x v="0"/>
    <n v="30000"/>
    <n v="0"/>
    <x v="0"/>
    <x v="1"/>
    <x v="1"/>
    <x v="0"/>
    <x v="0"/>
    <x v="0"/>
    <n v="36"/>
    <x v="0"/>
    <x v="1"/>
  </r>
  <r>
    <n v="26654"/>
    <x v="0"/>
    <x v="0"/>
    <n v="90000"/>
    <n v="1"/>
    <x v="4"/>
    <x v="4"/>
    <x v="0"/>
    <x v="0"/>
    <x v="0"/>
    <x v="1"/>
    <n v="37"/>
    <x v="0"/>
    <x v="1"/>
  </r>
  <r>
    <n v="14545"/>
    <x v="0"/>
    <x v="0"/>
    <n v="10000"/>
    <n v="2"/>
    <x v="1"/>
    <x v="3"/>
    <x v="0"/>
    <x v="0"/>
    <x v="3"/>
    <x v="0"/>
    <n v="49"/>
    <x v="0"/>
    <x v="0"/>
  </r>
  <r>
    <n v="24201"/>
    <x v="0"/>
    <x v="0"/>
    <n v="10000"/>
    <n v="2"/>
    <x v="2"/>
    <x v="3"/>
    <x v="0"/>
    <x v="0"/>
    <x v="0"/>
    <x v="0"/>
    <n v="37"/>
    <x v="0"/>
    <x v="1"/>
  </r>
  <r>
    <n v="20625"/>
    <x v="0"/>
    <x v="1"/>
    <n v="100000"/>
    <n v="0"/>
    <x v="2"/>
    <x v="4"/>
    <x v="0"/>
    <x v="4"/>
    <x v="4"/>
    <x v="1"/>
    <n v="35"/>
    <x v="0"/>
    <x v="1"/>
  </r>
  <r>
    <n v="16390"/>
    <x v="1"/>
    <x v="1"/>
    <n v="30000"/>
    <n v="1"/>
    <x v="0"/>
    <x v="1"/>
    <x v="1"/>
    <x v="0"/>
    <x v="0"/>
    <x v="0"/>
    <n v="38"/>
    <x v="0"/>
    <x v="1"/>
  </r>
  <r>
    <n v="14804"/>
    <x v="1"/>
    <x v="0"/>
    <n v="10000"/>
    <n v="3"/>
    <x v="3"/>
    <x v="3"/>
    <x v="0"/>
    <x v="2"/>
    <x v="0"/>
    <x v="0"/>
    <n v="43"/>
    <x v="0"/>
    <x v="0"/>
  </r>
  <r>
    <n v="12629"/>
    <x v="1"/>
    <x v="1"/>
    <n v="20000"/>
    <n v="1"/>
    <x v="1"/>
    <x v="3"/>
    <x v="1"/>
    <x v="0"/>
    <x v="0"/>
    <x v="0"/>
    <n v="37"/>
    <x v="0"/>
    <x v="0"/>
  </r>
  <r>
    <n v="14696"/>
    <x v="1"/>
    <x v="1"/>
    <n v="10000"/>
    <n v="0"/>
    <x v="3"/>
    <x v="3"/>
    <x v="1"/>
    <x v="2"/>
    <x v="0"/>
    <x v="0"/>
    <n v="34"/>
    <x v="0"/>
    <x v="0"/>
  </r>
  <r>
    <n v="22005"/>
    <x v="0"/>
    <x v="0"/>
    <n v="70000"/>
    <n v="5"/>
    <x v="1"/>
    <x v="0"/>
    <x v="1"/>
    <x v="4"/>
    <x v="2"/>
    <x v="1"/>
    <n v="46"/>
    <x v="0"/>
    <x v="0"/>
  </r>
  <r>
    <n v="14544"/>
    <x v="1"/>
    <x v="1"/>
    <n v="10000"/>
    <n v="1"/>
    <x v="1"/>
    <x v="3"/>
    <x v="0"/>
    <x v="0"/>
    <x v="0"/>
    <x v="0"/>
    <n v="49"/>
    <x v="0"/>
    <x v="0"/>
  </r>
  <r>
    <n v="14312"/>
    <x v="0"/>
    <x v="0"/>
    <n v="60000"/>
    <n v="1"/>
    <x v="1"/>
    <x v="0"/>
    <x v="0"/>
    <x v="1"/>
    <x v="2"/>
    <x v="1"/>
    <n v="45"/>
    <x v="0"/>
    <x v="0"/>
  </r>
  <r>
    <n v="29120"/>
    <x v="1"/>
    <x v="0"/>
    <n v="100000"/>
    <n v="1"/>
    <x v="0"/>
    <x v="4"/>
    <x v="0"/>
    <x v="3"/>
    <x v="1"/>
    <x v="1"/>
    <n v="48"/>
    <x v="0"/>
    <x v="0"/>
  </r>
  <r>
    <n v="24187"/>
    <x v="1"/>
    <x v="0"/>
    <n v="30000"/>
    <n v="3"/>
    <x v="4"/>
    <x v="1"/>
    <x v="1"/>
    <x v="0"/>
    <x v="0"/>
    <x v="0"/>
    <n v="46"/>
    <x v="0"/>
    <x v="1"/>
  </r>
  <r>
    <n v="15758"/>
    <x v="0"/>
    <x v="1"/>
    <n v="130000"/>
    <n v="0"/>
    <x v="4"/>
    <x v="4"/>
    <x v="0"/>
    <x v="0"/>
    <x v="2"/>
    <x v="1"/>
    <n v="48"/>
    <x v="0"/>
    <x v="0"/>
  </r>
  <r>
    <n v="29094"/>
    <x v="0"/>
    <x v="1"/>
    <n v="30000"/>
    <n v="3"/>
    <x v="2"/>
    <x v="0"/>
    <x v="0"/>
    <x v="2"/>
    <x v="2"/>
    <x v="1"/>
    <n v="54"/>
    <x v="0"/>
    <x v="1"/>
  </r>
  <r>
    <n v="28319"/>
    <x v="1"/>
    <x v="0"/>
    <n v="60000"/>
    <n v="1"/>
    <x v="1"/>
    <x v="0"/>
    <x v="1"/>
    <x v="1"/>
    <x v="0"/>
    <x v="1"/>
    <n v="46"/>
    <x v="0"/>
    <x v="1"/>
  </r>
  <r>
    <n v="16406"/>
    <x v="0"/>
    <x v="1"/>
    <n v="40000"/>
    <n v="0"/>
    <x v="0"/>
    <x v="1"/>
    <x v="1"/>
    <x v="0"/>
    <x v="0"/>
    <x v="0"/>
    <n v="38"/>
    <x v="0"/>
    <x v="1"/>
  </r>
  <r>
    <n v="20923"/>
    <x v="0"/>
    <x v="0"/>
    <n v="40000"/>
    <n v="1"/>
    <x v="0"/>
    <x v="0"/>
    <x v="0"/>
    <x v="0"/>
    <x v="0"/>
    <x v="0"/>
    <n v="42"/>
    <x v="0"/>
    <x v="1"/>
  </r>
  <r>
    <n v="11378"/>
    <x v="1"/>
    <x v="0"/>
    <n v="10000"/>
    <n v="1"/>
    <x v="2"/>
    <x v="3"/>
    <x v="1"/>
    <x v="1"/>
    <x v="1"/>
    <x v="0"/>
    <n v="46"/>
    <x v="0"/>
    <x v="1"/>
  </r>
  <r>
    <n v="20851"/>
    <x v="1"/>
    <x v="1"/>
    <n v="20000"/>
    <n v="0"/>
    <x v="1"/>
    <x v="3"/>
    <x v="1"/>
    <x v="1"/>
    <x v="1"/>
    <x v="0"/>
    <n v="36"/>
    <x v="0"/>
    <x v="1"/>
  </r>
  <r>
    <n v="21557"/>
    <x v="1"/>
    <x v="0"/>
    <n v="110000"/>
    <n v="0"/>
    <x v="1"/>
    <x v="4"/>
    <x v="0"/>
    <x v="4"/>
    <x v="4"/>
    <x v="1"/>
    <n v="32"/>
    <x v="0"/>
    <x v="1"/>
  </r>
  <r>
    <n v="26663"/>
    <x v="1"/>
    <x v="0"/>
    <n v="60000"/>
    <n v="2"/>
    <x v="0"/>
    <x v="2"/>
    <x v="1"/>
    <x v="1"/>
    <x v="0"/>
    <x v="1"/>
    <n v="39"/>
    <x v="0"/>
    <x v="1"/>
  </r>
  <r>
    <n v="11896"/>
    <x v="0"/>
    <x v="1"/>
    <n v="100000"/>
    <n v="1"/>
    <x v="4"/>
    <x v="4"/>
    <x v="0"/>
    <x v="0"/>
    <x v="1"/>
    <x v="1"/>
    <n v="36"/>
    <x v="0"/>
    <x v="1"/>
  </r>
  <r>
    <n v="14189"/>
    <x v="0"/>
    <x v="0"/>
    <n v="90000"/>
    <n v="4"/>
    <x v="2"/>
    <x v="2"/>
    <x v="1"/>
    <x v="2"/>
    <x v="1"/>
    <x v="0"/>
    <n v="54"/>
    <x v="0"/>
    <x v="1"/>
  </r>
  <r>
    <n v="13136"/>
    <x v="0"/>
    <x v="0"/>
    <n v="30000"/>
    <n v="2"/>
    <x v="1"/>
    <x v="1"/>
    <x v="1"/>
    <x v="2"/>
    <x v="2"/>
    <x v="1"/>
    <n v="69"/>
    <x v="1"/>
    <x v="0"/>
  </r>
  <r>
    <n v="25906"/>
    <x v="1"/>
    <x v="0"/>
    <n v="10000"/>
    <n v="5"/>
    <x v="2"/>
    <x v="0"/>
    <x v="1"/>
    <x v="2"/>
    <x v="3"/>
    <x v="1"/>
    <n v="62"/>
    <x v="1"/>
    <x v="0"/>
  </r>
  <r>
    <n v="17926"/>
    <x v="1"/>
    <x v="0"/>
    <n v="40000"/>
    <n v="0"/>
    <x v="0"/>
    <x v="1"/>
    <x v="1"/>
    <x v="0"/>
    <x v="0"/>
    <x v="1"/>
    <n v="28"/>
    <x v="2"/>
    <x v="1"/>
  </r>
  <r>
    <n v="26928"/>
    <x v="1"/>
    <x v="1"/>
    <n v="30000"/>
    <n v="1"/>
    <x v="0"/>
    <x v="1"/>
    <x v="0"/>
    <x v="0"/>
    <x v="0"/>
    <x v="0"/>
    <n v="62"/>
    <x v="1"/>
    <x v="1"/>
  </r>
  <r>
    <n v="20897"/>
    <x v="0"/>
    <x v="0"/>
    <n v="30000"/>
    <n v="1"/>
    <x v="0"/>
    <x v="0"/>
    <x v="0"/>
    <x v="2"/>
    <x v="0"/>
    <x v="0"/>
    <n v="40"/>
    <x v="0"/>
    <x v="0"/>
  </r>
  <r>
    <n v="28207"/>
    <x v="0"/>
    <x v="1"/>
    <n v="80000"/>
    <n v="4"/>
    <x v="4"/>
    <x v="4"/>
    <x v="0"/>
    <x v="1"/>
    <x v="0"/>
    <x v="1"/>
    <n v="36"/>
    <x v="0"/>
    <x v="1"/>
  </r>
  <r>
    <n v="25923"/>
    <x v="1"/>
    <x v="1"/>
    <n v="10000"/>
    <n v="2"/>
    <x v="3"/>
    <x v="1"/>
    <x v="0"/>
    <x v="2"/>
    <x v="2"/>
    <x v="1"/>
    <n v="58"/>
    <x v="1"/>
    <x v="0"/>
  </r>
  <r>
    <n v="11000"/>
    <x v="0"/>
    <x v="1"/>
    <n v="90000"/>
    <n v="2"/>
    <x v="0"/>
    <x v="2"/>
    <x v="0"/>
    <x v="0"/>
    <x v="3"/>
    <x v="1"/>
    <n v="40"/>
    <x v="0"/>
    <x v="1"/>
  </r>
  <r>
    <n v="20974"/>
    <x v="0"/>
    <x v="1"/>
    <n v="10000"/>
    <n v="2"/>
    <x v="0"/>
    <x v="1"/>
    <x v="0"/>
    <x v="1"/>
    <x v="0"/>
    <x v="0"/>
    <n v="66"/>
    <x v="1"/>
    <x v="0"/>
  </r>
  <r>
    <n v="28758"/>
    <x v="0"/>
    <x v="1"/>
    <n v="40000"/>
    <n v="2"/>
    <x v="1"/>
    <x v="1"/>
    <x v="0"/>
    <x v="1"/>
    <x v="3"/>
    <x v="0"/>
    <n v="35"/>
    <x v="0"/>
    <x v="1"/>
  </r>
  <r>
    <n v="11381"/>
    <x v="0"/>
    <x v="0"/>
    <n v="20000"/>
    <n v="2"/>
    <x v="1"/>
    <x v="3"/>
    <x v="0"/>
    <x v="1"/>
    <x v="1"/>
    <x v="0"/>
    <n v="47"/>
    <x v="0"/>
    <x v="1"/>
  </r>
  <r>
    <n v="17522"/>
    <x v="0"/>
    <x v="1"/>
    <n v="120000"/>
    <n v="4"/>
    <x v="0"/>
    <x v="4"/>
    <x v="0"/>
    <x v="1"/>
    <x v="1"/>
    <x v="1"/>
    <n v="47"/>
    <x v="0"/>
    <x v="0"/>
  </r>
  <r>
    <n v="21207"/>
    <x v="0"/>
    <x v="1"/>
    <n v="60000"/>
    <n v="1"/>
    <x v="1"/>
    <x v="0"/>
    <x v="0"/>
    <x v="1"/>
    <x v="2"/>
    <x v="1"/>
    <n v="46"/>
    <x v="0"/>
    <x v="0"/>
  </r>
  <r>
    <n v="28102"/>
    <x v="0"/>
    <x v="1"/>
    <n v="20000"/>
    <n v="4"/>
    <x v="2"/>
    <x v="0"/>
    <x v="0"/>
    <x v="2"/>
    <x v="2"/>
    <x v="1"/>
    <n v="58"/>
    <x v="1"/>
    <x v="1"/>
  </r>
  <r>
    <n v="23105"/>
    <x v="1"/>
    <x v="1"/>
    <n v="40000"/>
    <n v="3"/>
    <x v="3"/>
    <x v="1"/>
    <x v="1"/>
    <x v="2"/>
    <x v="2"/>
    <x v="1"/>
    <n v="52"/>
    <x v="0"/>
    <x v="1"/>
  </r>
  <r>
    <n v="18740"/>
    <x v="0"/>
    <x v="1"/>
    <n v="80000"/>
    <n v="5"/>
    <x v="0"/>
    <x v="2"/>
    <x v="1"/>
    <x v="1"/>
    <x v="0"/>
    <x v="1"/>
    <n v="47"/>
    <x v="0"/>
    <x v="1"/>
  </r>
  <r>
    <n v="21213"/>
    <x v="1"/>
    <x v="1"/>
    <n v="70000"/>
    <n v="0"/>
    <x v="0"/>
    <x v="2"/>
    <x v="1"/>
    <x v="1"/>
    <x v="2"/>
    <x v="1"/>
    <n v="41"/>
    <x v="0"/>
    <x v="0"/>
  </r>
  <r>
    <n v="17352"/>
    <x v="0"/>
    <x v="1"/>
    <n v="50000"/>
    <n v="2"/>
    <x v="4"/>
    <x v="4"/>
    <x v="0"/>
    <x v="1"/>
    <x v="2"/>
    <x v="1"/>
    <n v="64"/>
    <x v="1"/>
    <x v="1"/>
  </r>
  <r>
    <n v="14154"/>
    <x v="0"/>
    <x v="1"/>
    <n v="30000"/>
    <n v="0"/>
    <x v="0"/>
    <x v="1"/>
    <x v="0"/>
    <x v="0"/>
    <x v="0"/>
    <x v="0"/>
    <n v="35"/>
    <x v="0"/>
    <x v="1"/>
  </r>
  <r>
    <n v="19066"/>
    <x v="0"/>
    <x v="1"/>
    <n v="130000"/>
    <n v="4"/>
    <x v="1"/>
    <x v="2"/>
    <x v="1"/>
    <x v="4"/>
    <x v="4"/>
    <x v="0"/>
    <n v="54"/>
    <x v="0"/>
    <x v="0"/>
  </r>
  <r>
    <n v="11386"/>
    <x v="0"/>
    <x v="0"/>
    <n v="30000"/>
    <n v="3"/>
    <x v="0"/>
    <x v="1"/>
    <x v="0"/>
    <x v="0"/>
    <x v="0"/>
    <x v="0"/>
    <n v="45"/>
    <x v="0"/>
    <x v="0"/>
  </r>
  <r>
    <n v="20228"/>
    <x v="0"/>
    <x v="1"/>
    <n v="100000"/>
    <n v="0"/>
    <x v="4"/>
    <x v="4"/>
    <x v="0"/>
    <x v="0"/>
    <x v="1"/>
    <x v="1"/>
    <n v="40"/>
    <x v="0"/>
    <x v="1"/>
  </r>
  <r>
    <n v="16675"/>
    <x v="1"/>
    <x v="0"/>
    <n v="160000"/>
    <n v="0"/>
    <x v="4"/>
    <x v="4"/>
    <x v="1"/>
    <x v="4"/>
    <x v="0"/>
    <x v="1"/>
    <n v="47"/>
    <x v="0"/>
    <x v="1"/>
  </r>
  <r>
    <n v="16410"/>
    <x v="1"/>
    <x v="0"/>
    <n v="10000"/>
    <n v="4"/>
    <x v="3"/>
    <x v="3"/>
    <x v="0"/>
    <x v="2"/>
    <x v="0"/>
    <x v="0"/>
    <n v="41"/>
    <x v="0"/>
    <x v="1"/>
  </r>
  <r>
    <n v="27760"/>
    <x v="1"/>
    <x v="0"/>
    <n v="40000"/>
    <n v="0"/>
    <x v="4"/>
    <x v="1"/>
    <x v="1"/>
    <x v="0"/>
    <x v="0"/>
    <x v="0"/>
    <n v="37"/>
    <x v="0"/>
    <x v="1"/>
  </r>
  <r>
    <n v="22930"/>
    <x v="0"/>
    <x v="1"/>
    <n v="90000"/>
    <n v="4"/>
    <x v="0"/>
    <x v="2"/>
    <x v="0"/>
    <x v="0"/>
    <x v="3"/>
    <x v="1"/>
    <n v="38"/>
    <x v="0"/>
    <x v="1"/>
  </r>
  <r>
    <n v="23780"/>
    <x v="1"/>
    <x v="1"/>
    <n v="40000"/>
    <n v="2"/>
    <x v="1"/>
    <x v="1"/>
    <x v="1"/>
    <x v="2"/>
    <x v="0"/>
    <x v="0"/>
    <n v="36"/>
    <x v="0"/>
    <x v="1"/>
  </r>
  <r>
    <n v="20994"/>
    <x v="0"/>
    <x v="0"/>
    <n v="20000"/>
    <n v="0"/>
    <x v="0"/>
    <x v="1"/>
    <x v="1"/>
    <x v="0"/>
    <x v="0"/>
    <x v="1"/>
    <n v="26"/>
    <x v="2"/>
    <x v="1"/>
  </r>
  <r>
    <n v="28379"/>
    <x v="0"/>
    <x v="1"/>
    <n v="30000"/>
    <n v="1"/>
    <x v="0"/>
    <x v="0"/>
    <x v="0"/>
    <x v="2"/>
    <x v="0"/>
    <x v="0"/>
    <n v="40"/>
    <x v="0"/>
    <x v="0"/>
  </r>
  <r>
    <n v="14865"/>
    <x v="1"/>
    <x v="1"/>
    <n v="40000"/>
    <n v="2"/>
    <x v="1"/>
    <x v="1"/>
    <x v="0"/>
    <x v="2"/>
    <x v="3"/>
    <x v="0"/>
    <n v="36"/>
    <x v="0"/>
    <x v="0"/>
  </r>
  <r>
    <n v="12663"/>
    <x v="0"/>
    <x v="0"/>
    <n v="90000"/>
    <n v="5"/>
    <x v="3"/>
    <x v="0"/>
    <x v="0"/>
    <x v="2"/>
    <x v="4"/>
    <x v="0"/>
    <n v="59"/>
    <x v="1"/>
    <x v="0"/>
  </r>
  <r>
    <n v="24898"/>
    <x v="1"/>
    <x v="0"/>
    <n v="80000"/>
    <n v="0"/>
    <x v="0"/>
    <x v="2"/>
    <x v="0"/>
    <x v="4"/>
    <x v="4"/>
    <x v="1"/>
    <n v="32"/>
    <x v="0"/>
    <x v="0"/>
  </r>
  <r>
    <n v="19508"/>
    <x v="0"/>
    <x v="1"/>
    <n v="10000"/>
    <n v="0"/>
    <x v="3"/>
    <x v="3"/>
    <x v="1"/>
    <x v="2"/>
    <x v="0"/>
    <x v="0"/>
    <n v="30"/>
    <x v="2"/>
    <x v="0"/>
  </r>
  <r>
    <n v="11489"/>
    <x v="1"/>
    <x v="0"/>
    <n v="20000"/>
    <n v="0"/>
    <x v="3"/>
    <x v="3"/>
    <x v="1"/>
    <x v="2"/>
    <x v="3"/>
    <x v="0"/>
    <n v="35"/>
    <x v="0"/>
    <x v="1"/>
  </r>
  <r>
    <n v="18160"/>
    <x v="0"/>
    <x v="1"/>
    <n v="130000"/>
    <n v="3"/>
    <x v="2"/>
    <x v="2"/>
    <x v="0"/>
    <x v="3"/>
    <x v="2"/>
    <x v="0"/>
    <n v="51"/>
    <x v="0"/>
    <x v="1"/>
  </r>
  <r>
    <n v="25241"/>
    <x v="0"/>
    <x v="1"/>
    <n v="90000"/>
    <n v="2"/>
    <x v="0"/>
    <x v="2"/>
    <x v="0"/>
    <x v="1"/>
    <x v="2"/>
    <x v="1"/>
    <n v="47"/>
    <x v="0"/>
    <x v="0"/>
  </r>
  <r>
    <n v="24369"/>
    <x v="0"/>
    <x v="1"/>
    <n v="80000"/>
    <n v="5"/>
    <x v="4"/>
    <x v="4"/>
    <x v="1"/>
    <x v="2"/>
    <x v="0"/>
    <x v="1"/>
    <n v="39"/>
    <x v="0"/>
    <x v="0"/>
  </r>
  <r>
    <n v="27165"/>
    <x v="1"/>
    <x v="1"/>
    <n v="20000"/>
    <n v="0"/>
    <x v="3"/>
    <x v="3"/>
    <x v="1"/>
    <x v="2"/>
    <x v="0"/>
    <x v="0"/>
    <n v="34"/>
    <x v="0"/>
    <x v="0"/>
  </r>
  <r>
    <n v="29424"/>
    <x v="0"/>
    <x v="1"/>
    <n v="10000"/>
    <n v="0"/>
    <x v="3"/>
    <x v="3"/>
    <x v="0"/>
    <x v="2"/>
    <x v="0"/>
    <x v="0"/>
    <n v="32"/>
    <x v="0"/>
    <x v="0"/>
  </r>
  <r>
    <n v="15926"/>
    <x v="1"/>
    <x v="0"/>
    <n v="120000"/>
    <n v="3"/>
    <x v="2"/>
    <x v="2"/>
    <x v="0"/>
    <x v="3"/>
    <x v="2"/>
    <x v="0"/>
    <n v="50"/>
    <x v="0"/>
    <x v="1"/>
  </r>
  <r>
    <n v="14554"/>
    <x v="0"/>
    <x v="1"/>
    <n v="20000"/>
    <n v="1"/>
    <x v="0"/>
    <x v="1"/>
    <x v="0"/>
    <x v="0"/>
    <x v="0"/>
    <x v="0"/>
    <n v="66"/>
    <x v="1"/>
    <x v="0"/>
  </r>
  <r>
    <n v="16468"/>
    <x v="1"/>
    <x v="1"/>
    <n v="30000"/>
    <n v="0"/>
    <x v="1"/>
    <x v="1"/>
    <x v="0"/>
    <x v="1"/>
    <x v="1"/>
    <x v="0"/>
    <n v="30"/>
    <x v="2"/>
    <x v="0"/>
  </r>
  <r>
    <n v="19174"/>
    <x v="1"/>
    <x v="0"/>
    <n v="30000"/>
    <n v="0"/>
    <x v="2"/>
    <x v="3"/>
    <x v="1"/>
    <x v="1"/>
    <x v="1"/>
    <x v="0"/>
    <n v="32"/>
    <x v="0"/>
    <x v="1"/>
  </r>
  <r>
    <n v="19183"/>
    <x v="1"/>
    <x v="1"/>
    <n v="10000"/>
    <n v="0"/>
    <x v="3"/>
    <x v="3"/>
    <x v="0"/>
    <x v="2"/>
    <x v="3"/>
    <x v="0"/>
    <n v="35"/>
    <x v="0"/>
    <x v="0"/>
  </r>
  <r>
    <n v="13683"/>
    <x v="1"/>
    <x v="0"/>
    <n v="30000"/>
    <n v="0"/>
    <x v="2"/>
    <x v="3"/>
    <x v="1"/>
    <x v="1"/>
    <x v="1"/>
    <x v="0"/>
    <n v="32"/>
    <x v="0"/>
    <x v="0"/>
  </r>
  <r>
    <n v="17848"/>
    <x v="1"/>
    <x v="1"/>
    <n v="30000"/>
    <n v="0"/>
    <x v="1"/>
    <x v="1"/>
    <x v="1"/>
    <x v="1"/>
    <x v="1"/>
    <x v="0"/>
    <n v="31"/>
    <x v="0"/>
    <x v="1"/>
  </r>
  <r>
    <n v="17894"/>
    <x v="0"/>
    <x v="0"/>
    <n v="20000"/>
    <n v="1"/>
    <x v="0"/>
    <x v="1"/>
    <x v="0"/>
    <x v="0"/>
    <x v="0"/>
    <x v="0"/>
    <n v="50"/>
    <x v="0"/>
    <x v="1"/>
  </r>
  <r>
    <n v="25651"/>
    <x v="0"/>
    <x v="1"/>
    <n v="40000"/>
    <n v="1"/>
    <x v="0"/>
    <x v="0"/>
    <x v="1"/>
    <x v="0"/>
    <x v="0"/>
    <x v="0"/>
    <n v="43"/>
    <x v="0"/>
    <x v="1"/>
  </r>
  <r>
    <n v="22936"/>
    <x v="1"/>
    <x v="0"/>
    <n v="60000"/>
    <n v="1"/>
    <x v="1"/>
    <x v="0"/>
    <x v="1"/>
    <x v="1"/>
    <x v="0"/>
    <x v="1"/>
    <n v="45"/>
    <x v="0"/>
    <x v="1"/>
  </r>
  <r>
    <n v="23915"/>
    <x v="0"/>
    <x v="1"/>
    <n v="20000"/>
    <n v="2"/>
    <x v="2"/>
    <x v="3"/>
    <x v="0"/>
    <x v="2"/>
    <x v="0"/>
    <x v="0"/>
    <n v="42"/>
    <x v="0"/>
    <x v="0"/>
  </r>
  <r>
    <n v="24121"/>
    <x v="1"/>
    <x v="0"/>
    <n v="30000"/>
    <n v="0"/>
    <x v="1"/>
    <x v="1"/>
    <x v="1"/>
    <x v="1"/>
    <x v="0"/>
    <x v="0"/>
    <n v="29"/>
    <x v="2"/>
    <x v="1"/>
  </r>
  <r>
    <n v="27878"/>
    <x v="1"/>
    <x v="1"/>
    <n v="20000"/>
    <n v="0"/>
    <x v="1"/>
    <x v="3"/>
    <x v="1"/>
    <x v="0"/>
    <x v="0"/>
    <x v="1"/>
    <n v="28"/>
    <x v="2"/>
    <x v="1"/>
  </r>
  <r>
    <n v="13572"/>
    <x v="1"/>
    <x v="1"/>
    <n v="10000"/>
    <n v="3"/>
    <x v="2"/>
    <x v="3"/>
    <x v="0"/>
    <x v="0"/>
    <x v="0"/>
    <x v="0"/>
    <n v="37"/>
    <x v="0"/>
    <x v="1"/>
  </r>
  <r>
    <n v="27941"/>
    <x v="0"/>
    <x v="0"/>
    <n v="80000"/>
    <n v="4"/>
    <x v="1"/>
    <x v="2"/>
    <x v="0"/>
    <x v="2"/>
    <x v="1"/>
    <x v="0"/>
    <n v="53"/>
    <x v="0"/>
    <x v="0"/>
  </r>
  <r>
    <n v="26354"/>
    <x v="1"/>
    <x v="1"/>
    <n v="40000"/>
    <n v="0"/>
    <x v="4"/>
    <x v="1"/>
    <x v="1"/>
    <x v="0"/>
    <x v="0"/>
    <x v="0"/>
    <n v="38"/>
    <x v="0"/>
    <x v="1"/>
  </r>
  <r>
    <n v="14785"/>
    <x v="1"/>
    <x v="1"/>
    <n v="30000"/>
    <n v="1"/>
    <x v="0"/>
    <x v="1"/>
    <x v="1"/>
    <x v="1"/>
    <x v="3"/>
    <x v="0"/>
    <n v="39"/>
    <x v="0"/>
    <x v="0"/>
  </r>
  <r>
    <n v="17238"/>
    <x v="1"/>
    <x v="1"/>
    <n v="80000"/>
    <n v="0"/>
    <x v="0"/>
    <x v="2"/>
    <x v="0"/>
    <x v="4"/>
    <x v="4"/>
    <x v="1"/>
    <n v="32"/>
    <x v="0"/>
    <x v="0"/>
  </r>
  <r>
    <n v="23608"/>
    <x v="0"/>
    <x v="0"/>
    <n v="150000"/>
    <n v="3"/>
    <x v="2"/>
    <x v="2"/>
    <x v="0"/>
    <x v="4"/>
    <x v="0"/>
    <x v="0"/>
    <n v="51"/>
    <x v="0"/>
    <x v="1"/>
  </r>
  <r>
    <n v="22538"/>
    <x v="1"/>
    <x v="0"/>
    <n v="10000"/>
    <n v="0"/>
    <x v="3"/>
    <x v="3"/>
    <x v="0"/>
    <x v="2"/>
    <x v="3"/>
    <x v="0"/>
    <n v="33"/>
    <x v="0"/>
    <x v="0"/>
  </r>
  <r>
    <n v="12332"/>
    <x v="0"/>
    <x v="1"/>
    <n v="90000"/>
    <n v="4"/>
    <x v="2"/>
    <x v="4"/>
    <x v="0"/>
    <x v="4"/>
    <x v="2"/>
    <x v="0"/>
    <n v="58"/>
    <x v="1"/>
    <x v="1"/>
  </r>
  <r>
    <n v="17230"/>
    <x v="0"/>
    <x v="1"/>
    <n v="80000"/>
    <n v="0"/>
    <x v="0"/>
    <x v="2"/>
    <x v="0"/>
    <x v="4"/>
    <x v="4"/>
    <x v="1"/>
    <n v="30"/>
    <x v="2"/>
    <x v="0"/>
  </r>
  <r>
    <n v="13082"/>
    <x v="1"/>
    <x v="1"/>
    <n v="130000"/>
    <n v="0"/>
    <x v="4"/>
    <x v="4"/>
    <x v="0"/>
    <x v="0"/>
    <x v="1"/>
    <x v="1"/>
    <n v="48"/>
    <x v="0"/>
    <x v="1"/>
  </r>
  <r>
    <n v="22518"/>
    <x v="1"/>
    <x v="0"/>
    <n v="30000"/>
    <n v="3"/>
    <x v="1"/>
    <x v="1"/>
    <x v="1"/>
    <x v="2"/>
    <x v="0"/>
    <x v="0"/>
    <n v="27"/>
    <x v="2"/>
    <x v="1"/>
  </r>
  <r>
    <n v="13687"/>
    <x v="0"/>
    <x v="1"/>
    <n v="40000"/>
    <n v="1"/>
    <x v="0"/>
    <x v="0"/>
    <x v="0"/>
    <x v="1"/>
    <x v="0"/>
    <x v="0"/>
    <n v="33"/>
    <x v="0"/>
    <x v="1"/>
  </r>
  <r>
    <n v="23571"/>
    <x v="0"/>
    <x v="0"/>
    <n v="40000"/>
    <n v="2"/>
    <x v="0"/>
    <x v="4"/>
    <x v="0"/>
    <x v="2"/>
    <x v="0"/>
    <x v="1"/>
    <n v="66"/>
    <x v="1"/>
    <x v="1"/>
  </r>
  <r>
    <n v="19305"/>
    <x v="1"/>
    <x v="0"/>
    <n v="10000"/>
    <n v="2"/>
    <x v="2"/>
    <x v="3"/>
    <x v="0"/>
    <x v="1"/>
    <x v="0"/>
    <x v="0"/>
    <n v="38"/>
    <x v="0"/>
    <x v="1"/>
  </r>
  <r>
    <n v="22636"/>
    <x v="1"/>
    <x v="0"/>
    <n v="40000"/>
    <n v="0"/>
    <x v="0"/>
    <x v="1"/>
    <x v="1"/>
    <x v="0"/>
    <x v="0"/>
    <x v="0"/>
    <n v="38"/>
    <x v="0"/>
    <x v="1"/>
  </r>
  <r>
    <n v="17310"/>
    <x v="0"/>
    <x v="1"/>
    <n v="60000"/>
    <n v="1"/>
    <x v="1"/>
    <x v="0"/>
    <x v="0"/>
    <x v="1"/>
    <x v="0"/>
    <x v="1"/>
    <n v="45"/>
    <x v="0"/>
    <x v="1"/>
  </r>
  <r>
    <n v="12133"/>
    <x v="0"/>
    <x v="0"/>
    <n v="130000"/>
    <n v="3"/>
    <x v="1"/>
    <x v="2"/>
    <x v="0"/>
    <x v="4"/>
    <x v="2"/>
    <x v="0"/>
    <n v="50"/>
    <x v="0"/>
    <x v="1"/>
  </r>
  <r>
    <n v="25918"/>
    <x v="1"/>
    <x v="0"/>
    <n v="30000"/>
    <n v="2"/>
    <x v="1"/>
    <x v="1"/>
    <x v="1"/>
    <x v="2"/>
    <x v="2"/>
    <x v="1"/>
    <n v="60"/>
    <x v="1"/>
    <x v="1"/>
  </r>
  <r>
    <n v="25752"/>
    <x v="1"/>
    <x v="0"/>
    <n v="20000"/>
    <n v="2"/>
    <x v="1"/>
    <x v="3"/>
    <x v="1"/>
    <x v="1"/>
    <x v="0"/>
    <x v="0"/>
    <n v="53"/>
    <x v="0"/>
    <x v="1"/>
  </r>
  <r>
    <n v="17324"/>
    <x v="0"/>
    <x v="0"/>
    <n v="100000"/>
    <n v="4"/>
    <x v="0"/>
    <x v="2"/>
    <x v="0"/>
    <x v="1"/>
    <x v="4"/>
    <x v="1"/>
    <n v="46"/>
    <x v="0"/>
    <x v="0"/>
  </r>
  <r>
    <n v="22918"/>
    <x v="1"/>
    <x v="1"/>
    <n v="80000"/>
    <n v="5"/>
    <x v="4"/>
    <x v="4"/>
    <x v="0"/>
    <x v="4"/>
    <x v="0"/>
    <x v="1"/>
    <n v="50"/>
    <x v="0"/>
    <x v="0"/>
  </r>
  <r>
    <n v="12510"/>
    <x v="0"/>
    <x v="1"/>
    <n v="40000"/>
    <n v="1"/>
    <x v="0"/>
    <x v="0"/>
    <x v="0"/>
    <x v="1"/>
    <x v="0"/>
    <x v="0"/>
    <n v="43"/>
    <x v="0"/>
    <x v="1"/>
  </r>
  <r>
    <n v="25512"/>
    <x v="1"/>
    <x v="1"/>
    <n v="20000"/>
    <n v="0"/>
    <x v="2"/>
    <x v="3"/>
    <x v="1"/>
    <x v="1"/>
    <x v="1"/>
    <x v="0"/>
    <n v="30"/>
    <x v="2"/>
    <x v="0"/>
  </r>
  <r>
    <n v="16179"/>
    <x v="1"/>
    <x v="0"/>
    <n v="80000"/>
    <n v="5"/>
    <x v="0"/>
    <x v="2"/>
    <x v="0"/>
    <x v="3"/>
    <x v="3"/>
    <x v="1"/>
    <n v="38"/>
    <x v="0"/>
    <x v="0"/>
  </r>
  <r>
    <n v="15628"/>
    <x v="0"/>
    <x v="0"/>
    <n v="40000"/>
    <n v="1"/>
    <x v="0"/>
    <x v="0"/>
    <x v="0"/>
    <x v="1"/>
    <x v="0"/>
    <x v="0"/>
    <n v="89"/>
    <x v="1"/>
    <x v="0"/>
  </r>
  <r>
    <n v="20977"/>
    <x v="0"/>
    <x v="1"/>
    <n v="20000"/>
    <n v="1"/>
    <x v="0"/>
    <x v="1"/>
    <x v="0"/>
    <x v="0"/>
    <x v="0"/>
    <x v="0"/>
    <n v="64"/>
    <x v="1"/>
    <x v="1"/>
  </r>
  <r>
    <n v="18140"/>
    <x v="0"/>
    <x v="1"/>
    <n v="130000"/>
    <n v="3"/>
    <x v="1"/>
    <x v="2"/>
    <x v="1"/>
    <x v="4"/>
    <x v="2"/>
    <x v="0"/>
    <n v="51"/>
    <x v="0"/>
    <x v="1"/>
  </r>
  <r>
    <n v="20417"/>
    <x v="0"/>
    <x v="1"/>
    <n v="30000"/>
    <n v="3"/>
    <x v="1"/>
    <x v="1"/>
    <x v="1"/>
    <x v="2"/>
    <x v="2"/>
    <x v="1"/>
    <n v="56"/>
    <x v="1"/>
    <x v="0"/>
  </r>
  <r>
    <n v="18267"/>
    <x v="0"/>
    <x v="1"/>
    <n v="60000"/>
    <n v="3"/>
    <x v="0"/>
    <x v="2"/>
    <x v="0"/>
    <x v="2"/>
    <x v="2"/>
    <x v="1"/>
    <n v="43"/>
    <x v="0"/>
    <x v="0"/>
  </r>
  <r>
    <n v="13620"/>
    <x v="1"/>
    <x v="1"/>
    <n v="70000"/>
    <n v="0"/>
    <x v="0"/>
    <x v="2"/>
    <x v="1"/>
    <x v="4"/>
    <x v="4"/>
    <x v="1"/>
    <n v="30"/>
    <x v="2"/>
    <x v="1"/>
  </r>
  <r>
    <n v="22974"/>
    <x v="0"/>
    <x v="0"/>
    <n v="30000"/>
    <n v="2"/>
    <x v="1"/>
    <x v="1"/>
    <x v="0"/>
    <x v="2"/>
    <x v="2"/>
    <x v="1"/>
    <n v="69"/>
    <x v="1"/>
    <x v="0"/>
  </r>
  <r>
    <n v="13586"/>
    <x v="0"/>
    <x v="1"/>
    <n v="80000"/>
    <n v="4"/>
    <x v="1"/>
    <x v="2"/>
    <x v="0"/>
    <x v="2"/>
    <x v="4"/>
    <x v="0"/>
    <n v="53"/>
    <x v="0"/>
    <x v="0"/>
  </r>
  <r>
    <n v="17978"/>
    <x v="0"/>
    <x v="1"/>
    <n v="40000"/>
    <n v="0"/>
    <x v="4"/>
    <x v="1"/>
    <x v="0"/>
    <x v="0"/>
    <x v="0"/>
    <x v="0"/>
    <n v="37"/>
    <x v="0"/>
    <x v="1"/>
  </r>
  <r>
    <n v="12581"/>
    <x v="1"/>
    <x v="0"/>
    <n v="10000"/>
    <n v="0"/>
    <x v="1"/>
    <x v="3"/>
    <x v="1"/>
    <x v="1"/>
    <x v="0"/>
    <x v="1"/>
    <n v="28"/>
    <x v="2"/>
    <x v="1"/>
  </r>
  <r>
    <n v="18018"/>
    <x v="1"/>
    <x v="1"/>
    <n v="30000"/>
    <n v="3"/>
    <x v="1"/>
    <x v="1"/>
    <x v="0"/>
    <x v="0"/>
    <x v="0"/>
    <x v="0"/>
    <n v="43"/>
    <x v="0"/>
    <x v="0"/>
  </r>
  <r>
    <n v="28957"/>
    <x v="1"/>
    <x v="0"/>
    <n v="120000"/>
    <n v="0"/>
    <x v="3"/>
    <x v="2"/>
    <x v="0"/>
    <x v="3"/>
    <x v="4"/>
    <x v="1"/>
    <n v="34"/>
    <x v="0"/>
    <x v="1"/>
  </r>
  <r>
    <n v="13690"/>
    <x v="1"/>
    <x v="0"/>
    <n v="20000"/>
    <n v="0"/>
    <x v="3"/>
    <x v="3"/>
    <x v="1"/>
    <x v="2"/>
    <x v="3"/>
    <x v="0"/>
    <n v="34"/>
    <x v="0"/>
    <x v="1"/>
  </r>
  <r>
    <n v="12568"/>
    <x v="0"/>
    <x v="0"/>
    <n v="30000"/>
    <n v="1"/>
    <x v="0"/>
    <x v="1"/>
    <x v="0"/>
    <x v="0"/>
    <x v="0"/>
    <x v="0"/>
    <n v="64"/>
    <x v="1"/>
    <x v="0"/>
  </r>
  <r>
    <n v="13122"/>
    <x v="0"/>
    <x v="0"/>
    <n v="80000"/>
    <n v="0"/>
    <x v="0"/>
    <x v="2"/>
    <x v="0"/>
    <x v="1"/>
    <x v="3"/>
    <x v="1"/>
    <n v="41"/>
    <x v="0"/>
    <x v="1"/>
  </r>
  <r>
    <n v="21184"/>
    <x v="1"/>
    <x v="1"/>
    <n v="70000"/>
    <n v="0"/>
    <x v="0"/>
    <x v="2"/>
    <x v="1"/>
    <x v="1"/>
    <x v="2"/>
    <x v="1"/>
    <n v="38"/>
    <x v="0"/>
    <x v="0"/>
  </r>
  <r>
    <n v="26150"/>
    <x v="1"/>
    <x v="0"/>
    <n v="70000"/>
    <n v="0"/>
    <x v="0"/>
    <x v="2"/>
    <x v="1"/>
    <x v="1"/>
    <x v="0"/>
    <x v="1"/>
    <n v="41"/>
    <x v="0"/>
    <x v="1"/>
  </r>
  <r>
    <n v="24151"/>
    <x v="1"/>
    <x v="1"/>
    <n v="20000"/>
    <n v="1"/>
    <x v="0"/>
    <x v="1"/>
    <x v="1"/>
    <x v="0"/>
    <x v="0"/>
    <x v="0"/>
    <n v="51"/>
    <x v="0"/>
    <x v="0"/>
  </r>
  <r>
    <n v="23962"/>
    <x v="0"/>
    <x v="0"/>
    <n v="10000"/>
    <n v="0"/>
    <x v="3"/>
    <x v="3"/>
    <x v="0"/>
    <x v="2"/>
    <x v="3"/>
    <x v="0"/>
    <n v="32"/>
    <x v="0"/>
    <x v="0"/>
  </r>
  <r>
    <n v="17793"/>
    <x v="0"/>
    <x v="0"/>
    <n v="40000"/>
    <n v="0"/>
    <x v="0"/>
    <x v="1"/>
    <x v="0"/>
    <x v="0"/>
    <x v="0"/>
    <x v="0"/>
    <n v="38"/>
    <x v="0"/>
    <x v="1"/>
  </r>
  <r>
    <n v="14926"/>
    <x v="0"/>
    <x v="1"/>
    <n v="30000"/>
    <n v="1"/>
    <x v="0"/>
    <x v="1"/>
    <x v="0"/>
    <x v="0"/>
    <x v="0"/>
    <x v="0"/>
    <n v="38"/>
    <x v="0"/>
    <x v="1"/>
  </r>
  <r>
    <n v="16163"/>
    <x v="1"/>
    <x v="1"/>
    <n v="60000"/>
    <n v="2"/>
    <x v="0"/>
    <x v="2"/>
    <x v="0"/>
    <x v="1"/>
    <x v="1"/>
    <x v="1"/>
    <n v="38"/>
    <x v="0"/>
    <x v="1"/>
  </r>
  <r>
    <n v="21365"/>
    <x v="0"/>
    <x v="0"/>
    <n v="10000"/>
    <n v="2"/>
    <x v="3"/>
    <x v="1"/>
    <x v="0"/>
    <x v="2"/>
    <x v="2"/>
    <x v="1"/>
    <n v="58"/>
    <x v="1"/>
    <x v="0"/>
  </r>
  <r>
    <n v="27771"/>
    <x v="1"/>
    <x v="1"/>
    <n v="30000"/>
    <n v="1"/>
    <x v="0"/>
    <x v="1"/>
    <x v="0"/>
    <x v="1"/>
    <x v="3"/>
    <x v="0"/>
    <n v="39"/>
    <x v="0"/>
    <x v="1"/>
  </r>
  <r>
    <n v="26167"/>
    <x v="1"/>
    <x v="0"/>
    <n v="40000"/>
    <n v="2"/>
    <x v="0"/>
    <x v="4"/>
    <x v="1"/>
    <x v="1"/>
    <x v="2"/>
    <x v="1"/>
    <n v="53"/>
    <x v="0"/>
    <x v="1"/>
  </r>
  <r>
    <n v="25792"/>
    <x v="1"/>
    <x v="0"/>
    <n v="110000"/>
    <n v="3"/>
    <x v="0"/>
    <x v="4"/>
    <x v="0"/>
    <x v="3"/>
    <x v="4"/>
    <x v="0"/>
    <n v="53"/>
    <x v="0"/>
    <x v="0"/>
  </r>
  <r>
    <n v="11555"/>
    <x v="0"/>
    <x v="0"/>
    <n v="40000"/>
    <n v="1"/>
    <x v="0"/>
    <x v="1"/>
    <x v="0"/>
    <x v="0"/>
    <x v="0"/>
    <x v="0"/>
    <n v="80"/>
    <x v="1"/>
    <x v="0"/>
  </r>
  <r>
    <n v="22381"/>
    <x v="0"/>
    <x v="1"/>
    <n v="10000"/>
    <n v="1"/>
    <x v="4"/>
    <x v="3"/>
    <x v="0"/>
    <x v="0"/>
    <x v="0"/>
    <x v="0"/>
    <n v="44"/>
    <x v="0"/>
    <x v="0"/>
  </r>
  <r>
    <n v="17882"/>
    <x v="0"/>
    <x v="1"/>
    <n v="20000"/>
    <n v="1"/>
    <x v="4"/>
    <x v="1"/>
    <x v="0"/>
    <x v="0"/>
    <x v="0"/>
    <x v="0"/>
    <n v="44"/>
    <x v="0"/>
    <x v="0"/>
  </r>
  <r>
    <n v="22174"/>
    <x v="0"/>
    <x v="1"/>
    <n v="30000"/>
    <n v="3"/>
    <x v="2"/>
    <x v="0"/>
    <x v="0"/>
    <x v="2"/>
    <x v="2"/>
    <x v="1"/>
    <n v="54"/>
    <x v="0"/>
    <x v="1"/>
  </r>
  <r>
    <n v="22439"/>
    <x v="0"/>
    <x v="0"/>
    <n v="30000"/>
    <n v="0"/>
    <x v="0"/>
    <x v="1"/>
    <x v="0"/>
    <x v="0"/>
    <x v="0"/>
    <x v="0"/>
    <n v="37"/>
    <x v="0"/>
    <x v="1"/>
  </r>
  <r>
    <n v="18012"/>
    <x v="0"/>
    <x v="0"/>
    <n v="40000"/>
    <n v="1"/>
    <x v="0"/>
    <x v="0"/>
    <x v="0"/>
    <x v="0"/>
    <x v="0"/>
    <x v="0"/>
    <n v="41"/>
    <x v="0"/>
    <x v="0"/>
  </r>
  <r>
    <n v="27582"/>
    <x v="1"/>
    <x v="0"/>
    <n v="90000"/>
    <n v="2"/>
    <x v="0"/>
    <x v="2"/>
    <x v="1"/>
    <x v="0"/>
    <x v="0"/>
    <x v="1"/>
    <n v="36"/>
    <x v="0"/>
    <x v="1"/>
  </r>
  <r>
    <n v="12744"/>
    <x v="1"/>
    <x v="0"/>
    <n v="40000"/>
    <n v="2"/>
    <x v="1"/>
    <x v="1"/>
    <x v="0"/>
    <x v="0"/>
    <x v="0"/>
    <x v="0"/>
    <n v="33"/>
    <x v="0"/>
    <x v="0"/>
  </r>
  <r>
    <n v="22821"/>
    <x v="0"/>
    <x v="0"/>
    <n v="130000"/>
    <n v="3"/>
    <x v="1"/>
    <x v="2"/>
    <x v="0"/>
    <x v="3"/>
    <x v="0"/>
    <x v="0"/>
    <n v="52"/>
    <x v="0"/>
    <x v="0"/>
  </r>
  <r>
    <n v="20171"/>
    <x v="0"/>
    <x v="0"/>
    <n v="20000"/>
    <n v="2"/>
    <x v="1"/>
    <x v="3"/>
    <x v="0"/>
    <x v="1"/>
    <x v="0"/>
    <x v="0"/>
    <n v="46"/>
    <x v="0"/>
    <x v="1"/>
  </r>
  <r>
    <n v="11116"/>
    <x v="0"/>
    <x v="1"/>
    <n v="70000"/>
    <n v="5"/>
    <x v="1"/>
    <x v="0"/>
    <x v="0"/>
    <x v="2"/>
    <x v="2"/>
    <x v="1"/>
    <n v="43"/>
    <x v="0"/>
    <x v="0"/>
  </r>
  <r>
    <n v="20053"/>
    <x v="1"/>
    <x v="1"/>
    <n v="40000"/>
    <n v="2"/>
    <x v="1"/>
    <x v="1"/>
    <x v="0"/>
    <x v="0"/>
    <x v="0"/>
    <x v="0"/>
    <n v="34"/>
    <x v="0"/>
    <x v="0"/>
  </r>
  <r>
    <n v="25266"/>
    <x v="1"/>
    <x v="0"/>
    <n v="30000"/>
    <n v="2"/>
    <x v="1"/>
    <x v="1"/>
    <x v="1"/>
    <x v="2"/>
    <x v="2"/>
    <x v="1"/>
    <n v="67"/>
    <x v="1"/>
    <x v="0"/>
  </r>
  <r>
    <n v="17960"/>
    <x v="0"/>
    <x v="0"/>
    <n v="40000"/>
    <n v="0"/>
    <x v="4"/>
    <x v="1"/>
    <x v="0"/>
    <x v="0"/>
    <x v="0"/>
    <x v="0"/>
    <n v="35"/>
    <x v="0"/>
    <x v="1"/>
  </r>
  <r>
    <n v="13961"/>
    <x v="0"/>
    <x v="0"/>
    <n v="80000"/>
    <n v="5"/>
    <x v="4"/>
    <x v="4"/>
    <x v="0"/>
    <x v="4"/>
    <x v="0"/>
    <x v="1"/>
    <n v="40"/>
    <x v="0"/>
    <x v="0"/>
  </r>
  <r>
    <n v="11897"/>
    <x v="1"/>
    <x v="1"/>
    <n v="60000"/>
    <n v="2"/>
    <x v="0"/>
    <x v="2"/>
    <x v="1"/>
    <x v="1"/>
    <x v="0"/>
    <x v="1"/>
    <n v="37"/>
    <x v="0"/>
    <x v="1"/>
  </r>
  <r>
    <n v="11139"/>
    <x v="1"/>
    <x v="0"/>
    <n v="30000"/>
    <n v="2"/>
    <x v="1"/>
    <x v="1"/>
    <x v="1"/>
    <x v="2"/>
    <x v="2"/>
    <x v="1"/>
    <n v="67"/>
    <x v="1"/>
    <x v="0"/>
  </r>
  <r>
    <n v="11576"/>
    <x v="0"/>
    <x v="1"/>
    <n v="30000"/>
    <n v="1"/>
    <x v="0"/>
    <x v="0"/>
    <x v="0"/>
    <x v="2"/>
    <x v="0"/>
    <x v="0"/>
    <n v="41"/>
    <x v="0"/>
    <x v="1"/>
  </r>
  <r>
    <n v="19255"/>
    <x v="1"/>
    <x v="1"/>
    <n v="10000"/>
    <n v="2"/>
    <x v="1"/>
    <x v="3"/>
    <x v="0"/>
    <x v="1"/>
    <x v="0"/>
    <x v="0"/>
    <n v="51"/>
    <x v="0"/>
    <x v="1"/>
  </r>
  <r>
    <n v="18153"/>
    <x v="0"/>
    <x v="0"/>
    <n v="100000"/>
    <n v="2"/>
    <x v="0"/>
    <x v="4"/>
    <x v="0"/>
    <x v="3"/>
    <x v="4"/>
    <x v="0"/>
    <n v="59"/>
    <x v="1"/>
    <x v="0"/>
  </r>
  <r>
    <n v="14547"/>
    <x v="0"/>
    <x v="1"/>
    <n v="10000"/>
    <n v="2"/>
    <x v="1"/>
    <x v="3"/>
    <x v="0"/>
    <x v="0"/>
    <x v="3"/>
    <x v="0"/>
    <n v="51"/>
    <x v="0"/>
    <x v="0"/>
  </r>
  <r>
    <n v="24901"/>
    <x v="1"/>
    <x v="1"/>
    <n v="110000"/>
    <n v="0"/>
    <x v="1"/>
    <x v="4"/>
    <x v="1"/>
    <x v="4"/>
    <x v="4"/>
    <x v="1"/>
    <n v="32"/>
    <x v="0"/>
    <x v="1"/>
  </r>
  <r>
    <n v="27169"/>
    <x v="1"/>
    <x v="1"/>
    <n v="30000"/>
    <n v="0"/>
    <x v="2"/>
    <x v="3"/>
    <x v="0"/>
    <x v="1"/>
    <x v="1"/>
    <x v="0"/>
    <n v="34"/>
    <x v="0"/>
    <x v="1"/>
  </r>
  <r>
    <n v="14805"/>
    <x v="1"/>
    <x v="0"/>
    <n v="10000"/>
    <n v="3"/>
    <x v="3"/>
    <x v="3"/>
    <x v="0"/>
    <x v="2"/>
    <x v="0"/>
    <x v="0"/>
    <n v="43"/>
    <x v="0"/>
    <x v="0"/>
  </r>
  <r>
    <n v="15822"/>
    <x v="0"/>
    <x v="1"/>
    <n v="40000"/>
    <n v="2"/>
    <x v="0"/>
    <x v="4"/>
    <x v="0"/>
    <x v="2"/>
    <x v="0"/>
    <x v="1"/>
    <n v="67"/>
    <x v="1"/>
    <x v="0"/>
  </r>
  <r>
    <n v="19389"/>
    <x v="1"/>
    <x v="1"/>
    <n v="30000"/>
    <n v="0"/>
    <x v="1"/>
    <x v="1"/>
    <x v="1"/>
    <x v="1"/>
    <x v="1"/>
    <x v="0"/>
    <n v="28"/>
    <x v="2"/>
    <x v="0"/>
  </r>
  <r>
    <n v="17048"/>
    <x v="1"/>
    <x v="0"/>
    <n v="90000"/>
    <n v="1"/>
    <x v="4"/>
    <x v="4"/>
    <x v="0"/>
    <x v="0"/>
    <x v="0"/>
    <x v="1"/>
    <n v="36"/>
    <x v="0"/>
    <x v="1"/>
  </r>
  <r>
    <n v="22204"/>
    <x v="0"/>
    <x v="1"/>
    <n v="110000"/>
    <n v="4"/>
    <x v="0"/>
    <x v="4"/>
    <x v="0"/>
    <x v="4"/>
    <x v="1"/>
    <x v="1"/>
    <n v="48"/>
    <x v="0"/>
    <x v="0"/>
  </r>
  <r>
    <n v="12718"/>
    <x v="1"/>
    <x v="0"/>
    <n v="30000"/>
    <n v="0"/>
    <x v="1"/>
    <x v="1"/>
    <x v="0"/>
    <x v="1"/>
    <x v="1"/>
    <x v="0"/>
    <n v="31"/>
    <x v="0"/>
    <x v="0"/>
  </r>
  <r>
    <n v="15019"/>
    <x v="1"/>
    <x v="0"/>
    <n v="30000"/>
    <n v="3"/>
    <x v="2"/>
    <x v="0"/>
    <x v="0"/>
    <x v="2"/>
    <x v="2"/>
    <x v="1"/>
    <n v="55"/>
    <x v="1"/>
    <x v="0"/>
  </r>
  <r>
    <n v="28488"/>
    <x v="1"/>
    <x v="1"/>
    <n v="20000"/>
    <n v="0"/>
    <x v="1"/>
    <x v="3"/>
    <x v="0"/>
    <x v="0"/>
    <x v="0"/>
    <x v="1"/>
    <n v="28"/>
    <x v="2"/>
    <x v="1"/>
  </r>
  <r>
    <n v="21891"/>
    <x v="0"/>
    <x v="0"/>
    <n v="110000"/>
    <n v="0"/>
    <x v="2"/>
    <x v="4"/>
    <x v="0"/>
    <x v="4"/>
    <x v="4"/>
    <x v="1"/>
    <n v="34"/>
    <x v="0"/>
    <x v="1"/>
  </r>
  <r>
    <n v="27814"/>
    <x v="1"/>
    <x v="0"/>
    <n v="30000"/>
    <n v="3"/>
    <x v="1"/>
    <x v="1"/>
    <x v="1"/>
    <x v="1"/>
    <x v="0"/>
    <x v="0"/>
    <n v="26"/>
    <x v="2"/>
    <x v="0"/>
  </r>
  <r>
    <n v="22175"/>
    <x v="0"/>
    <x v="0"/>
    <n v="30000"/>
    <n v="3"/>
    <x v="2"/>
    <x v="0"/>
    <x v="0"/>
    <x v="2"/>
    <x v="2"/>
    <x v="1"/>
    <n v="53"/>
    <x v="0"/>
    <x v="1"/>
  </r>
  <r>
    <n v="29447"/>
    <x v="1"/>
    <x v="0"/>
    <n v="10000"/>
    <n v="2"/>
    <x v="0"/>
    <x v="1"/>
    <x v="1"/>
    <x v="1"/>
    <x v="1"/>
    <x v="0"/>
    <n v="68"/>
    <x v="1"/>
    <x v="0"/>
  </r>
  <r>
    <n v="19784"/>
    <x v="0"/>
    <x v="0"/>
    <n v="80000"/>
    <n v="2"/>
    <x v="2"/>
    <x v="0"/>
    <x v="0"/>
    <x v="2"/>
    <x v="2"/>
    <x v="1"/>
    <n v="50"/>
    <x v="0"/>
    <x v="1"/>
  </r>
  <r>
    <n v="27824"/>
    <x v="1"/>
    <x v="0"/>
    <n v="30000"/>
    <n v="3"/>
    <x v="1"/>
    <x v="1"/>
    <x v="0"/>
    <x v="2"/>
    <x v="0"/>
    <x v="0"/>
    <n v="28"/>
    <x v="2"/>
    <x v="1"/>
  </r>
  <r>
    <n v="24093"/>
    <x v="1"/>
    <x v="0"/>
    <n v="80000"/>
    <n v="0"/>
    <x v="4"/>
    <x v="0"/>
    <x v="1"/>
    <x v="0"/>
    <x v="0"/>
    <x v="0"/>
    <n v="40"/>
    <x v="0"/>
    <x v="1"/>
  </r>
  <r>
    <n v="19618"/>
    <x v="0"/>
    <x v="1"/>
    <n v="70000"/>
    <n v="5"/>
    <x v="1"/>
    <x v="0"/>
    <x v="0"/>
    <x v="2"/>
    <x v="0"/>
    <x v="1"/>
    <n v="44"/>
    <x v="0"/>
    <x v="0"/>
  </r>
  <r>
    <n v="21561"/>
    <x v="1"/>
    <x v="1"/>
    <n v="90000"/>
    <n v="0"/>
    <x v="0"/>
    <x v="2"/>
    <x v="1"/>
    <x v="4"/>
    <x v="4"/>
    <x v="1"/>
    <n v="34"/>
    <x v="0"/>
    <x v="1"/>
  </r>
  <r>
    <n v="11061"/>
    <x v="0"/>
    <x v="1"/>
    <n v="70000"/>
    <n v="2"/>
    <x v="1"/>
    <x v="0"/>
    <x v="0"/>
    <x v="2"/>
    <x v="2"/>
    <x v="1"/>
    <n v="52"/>
    <x v="0"/>
    <x v="1"/>
  </r>
  <r>
    <n v="26651"/>
    <x v="1"/>
    <x v="1"/>
    <n v="80000"/>
    <n v="4"/>
    <x v="4"/>
    <x v="4"/>
    <x v="0"/>
    <x v="0"/>
    <x v="0"/>
    <x v="1"/>
    <n v="36"/>
    <x v="0"/>
    <x v="1"/>
  </r>
  <r>
    <n v="21108"/>
    <x v="0"/>
    <x v="0"/>
    <n v="40000"/>
    <n v="1"/>
    <x v="0"/>
    <x v="0"/>
    <x v="0"/>
    <x v="1"/>
    <x v="0"/>
    <x v="0"/>
    <n v="43"/>
    <x v="0"/>
    <x v="1"/>
  </r>
  <r>
    <n v="12731"/>
    <x v="1"/>
    <x v="1"/>
    <n v="30000"/>
    <n v="0"/>
    <x v="2"/>
    <x v="3"/>
    <x v="1"/>
    <x v="1"/>
    <x v="3"/>
    <x v="0"/>
    <n v="32"/>
    <x v="0"/>
    <x v="0"/>
  </r>
  <r>
    <n v="25307"/>
    <x v="0"/>
    <x v="0"/>
    <n v="40000"/>
    <n v="1"/>
    <x v="0"/>
    <x v="0"/>
    <x v="0"/>
    <x v="1"/>
    <x v="3"/>
    <x v="0"/>
    <n v="32"/>
    <x v="0"/>
    <x v="1"/>
  </r>
  <r>
    <n v="14278"/>
    <x v="0"/>
    <x v="0"/>
    <n v="130000"/>
    <n v="0"/>
    <x v="4"/>
    <x v="4"/>
    <x v="0"/>
    <x v="1"/>
    <x v="4"/>
    <x v="1"/>
    <n v="48"/>
    <x v="0"/>
    <x v="0"/>
  </r>
  <r>
    <n v="20711"/>
    <x v="0"/>
    <x v="0"/>
    <n v="40000"/>
    <n v="1"/>
    <x v="0"/>
    <x v="0"/>
    <x v="0"/>
    <x v="0"/>
    <x v="3"/>
    <x v="0"/>
    <n v="32"/>
    <x v="0"/>
    <x v="1"/>
  </r>
  <r>
    <n v="11383"/>
    <x v="0"/>
    <x v="0"/>
    <n v="30000"/>
    <n v="3"/>
    <x v="4"/>
    <x v="1"/>
    <x v="0"/>
    <x v="0"/>
    <x v="0"/>
    <x v="0"/>
    <n v="46"/>
    <x v="0"/>
    <x v="0"/>
  </r>
  <r>
    <n v="12497"/>
    <x v="0"/>
    <x v="0"/>
    <n v="40000"/>
    <n v="1"/>
    <x v="0"/>
    <x v="0"/>
    <x v="0"/>
    <x v="0"/>
    <x v="0"/>
    <x v="0"/>
    <n v="42"/>
    <x v="0"/>
    <x v="0"/>
  </r>
  <r>
    <n v="16559"/>
    <x v="1"/>
    <x v="0"/>
    <n v="10000"/>
    <n v="2"/>
    <x v="2"/>
    <x v="3"/>
    <x v="0"/>
    <x v="0"/>
    <x v="0"/>
    <x v="0"/>
    <n v="36"/>
    <x v="0"/>
    <x v="1"/>
  </r>
  <r>
    <n v="11585"/>
    <x v="0"/>
    <x v="0"/>
    <n v="40000"/>
    <n v="1"/>
    <x v="0"/>
    <x v="0"/>
    <x v="0"/>
    <x v="0"/>
    <x v="0"/>
    <x v="0"/>
    <n v="41"/>
    <x v="0"/>
    <x v="0"/>
  </r>
  <r>
    <n v="20277"/>
    <x v="0"/>
    <x v="0"/>
    <n v="30000"/>
    <n v="2"/>
    <x v="1"/>
    <x v="1"/>
    <x v="1"/>
    <x v="2"/>
    <x v="0"/>
    <x v="1"/>
    <n v="69"/>
    <x v="1"/>
    <x v="0"/>
  </r>
  <r>
    <n v="26765"/>
    <x v="1"/>
    <x v="0"/>
    <n v="70000"/>
    <n v="5"/>
    <x v="1"/>
    <x v="0"/>
    <x v="0"/>
    <x v="2"/>
    <x v="2"/>
    <x v="1"/>
    <n v="45"/>
    <x v="0"/>
    <x v="0"/>
  </r>
  <r>
    <n v="12389"/>
    <x v="1"/>
    <x v="1"/>
    <n v="30000"/>
    <n v="0"/>
    <x v="2"/>
    <x v="3"/>
    <x v="1"/>
    <x v="1"/>
    <x v="1"/>
    <x v="0"/>
    <n v="34"/>
    <x v="0"/>
    <x v="0"/>
  </r>
  <r>
    <n v="13585"/>
    <x v="0"/>
    <x v="0"/>
    <n v="80000"/>
    <n v="4"/>
    <x v="1"/>
    <x v="2"/>
    <x v="1"/>
    <x v="1"/>
    <x v="1"/>
    <x v="0"/>
    <n v="53"/>
    <x v="0"/>
    <x v="1"/>
  </r>
  <r>
    <n v="26385"/>
    <x v="1"/>
    <x v="1"/>
    <n v="120000"/>
    <n v="3"/>
    <x v="2"/>
    <x v="2"/>
    <x v="1"/>
    <x v="3"/>
    <x v="2"/>
    <x v="0"/>
    <n v="50"/>
    <x v="0"/>
    <x v="0"/>
  </r>
  <r>
    <n v="12236"/>
    <x v="0"/>
    <x v="0"/>
    <n v="20000"/>
    <n v="1"/>
    <x v="1"/>
    <x v="3"/>
    <x v="0"/>
    <x v="0"/>
    <x v="0"/>
    <x v="0"/>
    <n v="65"/>
    <x v="1"/>
    <x v="0"/>
  </r>
  <r>
    <n v="21560"/>
    <x v="0"/>
    <x v="1"/>
    <n v="120000"/>
    <n v="0"/>
    <x v="3"/>
    <x v="2"/>
    <x v="0"/>
    <x v="3"/>
    <x v="4"/>
    <x v="1"/>
    <n v="32"/>
    <x v="0"/>
    <x v="1"/>
  </r>
  <r>
    <n v="21554"/>
    <x v="1"/>
    <x v="0"/>
    <n v="80000"/>
    <n v="0"/>
    <x v="0"/>
    <x v="2"/>
    <x v="1"/>
    <x v="4"/>
    <x v="4"/>
    <x v="1"/>
    <n v="33"/>
    <x v="0"/>
    <x v="0"/>
  </r>
  <r>
    <n v="13662"/>
    <x v="1"/>
    <x v="1"/>
    <n v="20000"/>
    <n v="0"/>
    <x v="3"/>
    <x v="3"/>
    <x v="0"/>
    <x v="2"/>
    <x v="3"/>
    <x v="0"/>
    <n v="31"/>
    <x v="0"/>
    <x v="1"/>
  </r>
  <r>
    <n v="13089"/>
    <x v="0"/>
    <x v="0"/>
    <n v="120000"/>
    <n v="1"/>
    <x v="0"/>
    <x v="4"/>
    <x v="0"/>
    <x v="2"/>
    <x v="0"/>
    <x v="1"/>
    <n v="46"/>
    <x v="0"/>
    <x v="1"/>
  </r>
  <r>
    <n v="14791"/>
    <x v="0"/>
    <x v="0"/>
    <n v="40000"/>
    <n v="0"/>
    <x v="0"/>
    <x v="1"/>
    <x v="0"/>
    <x v="0"/>
    <x v="0"/>
    <x v="0"/>
    <n v="39"/>
    <x v="0"/>
    <x v="1"/>
  </r>
  <r>
    <n v="19331"/>
    <x v="1"/>
    <x v="1"/>
    <n v="20000"/>
    <n v="2"/>
    <x v="2"/>
    <x v="3"/>
    <x v="0"/>
    <x v="1"/>
    <x v="0"/>
    <x v="0"/>
    <n v="40"/>
    <x v="0"/>
    <x v="0"/>
  </r>
  <r>
    <n v="17754"/>
    <x v="1"/>
    <x v="0"/>
    <n v="30000"/>
    <n v="3"/>
    <x v="0"/>
    <x v="1"/>
    <x v="0"/>
    <x v="0"/>
    <x v="0"/>
    <x v="0"/>
    <n v="46"/>
    <x v="0"/>
    <x v="1"/>
  </r>
  <r>
    <n v="11149"/>
    <x v="0"/>
    <x v="1"/>
    <n v="40000"/>
    <n v="2"/>
    <x v="0"/>
    <x v="4"/>
    <x v="0"/>
    <x v="2"/>
    <x v="0"/>
    <x v="1"/>
    <n v="65"/>
    <x v="1"/>
    <x v="0"/>
  </r>
  <r>
    <n v="16549"/>
    <x v="1"/>
    <x v="0"/>
    <n v="30000"/>
    <n v="3"/>
    <x v="0"/>
    <x v="1"/>
    <x v="0"/>
    <x v="0"/>
    <x v="0"/>
    <x v="0"/>
    <n v="47"/>
    <x v="0"/>
    <x v="1"/>
  </r>
  <r>
    <n v="24305"/>
    <x v="1"/>
    <x v="1"/>
    <n v="100000"/>
    <n v="1"/>
    <x v="0"/>
    <x v="4"/>
    <x v="1"/>
    <x v="4"/>
    <x v="0"/>
    <x v="1"/>
    <n v="46"/>
    <x v="0"/>
    <x v="1"/>
  </r>
  <r>
    <n v="18253"/>
    <x v="0"/>
    <x v="0"/>
    <n v="80000"/>
    <n v="5"/>
    <x v="4"/>
    <x v="4"/>
    <x v="0"/>
    <x v="4"/>
    <x v="0"/>
    <x v="1"/>
    <n v="40"/>
    <x v="0"/>
    <x v="0"/>
  </r>
  <r>
    <n v="20147"/>
    <x v="0"/>
    <x v="0"/>
    <n v="30000"/>
    <n v="1"/>
    <x v="0"/>
    <x v="1"/>
    <x v="0"/>
    <x v="0"/>
    <x v="0"/>
    <x v="0"/>
    <n v="65"/>
    <x v="1"/>
    <x v="0"/>
  </r>
  <r>
    <n v="15612"/>
    <x v="1"/>
    <x v="1"/>
    <n v="30000"/>
    <n v="0"/>
    <x v="2"/>
    <x v="3"/>
    <x v="1"/>
    <x v="1"/>
    <x v="3"/>
    <x v="0"/>
    <n v="28"/>
    <x v="2"/>
    <x v="0"/>
  </r>
  <r>
    <n v="28323"/>
    <x v="1"/>
    <x v="1"/>
    <n v="70000"/>
    <n v="0"/>
    <x v="0"/>
    <x v="2"/>
    <x v="1"/>
    <x v="2"/>
    <x v="2"/>
    <x v="1"/>
    <n v="43"/>
    <x v="0"/>
    <x v="1"/>
  </r>
  <r>
    <n v="22634"/>
    <x v="1"/>
    <x v="0"/>
    <n v="40000"/>
    <n v="0"/>
    <x v="4"/>
    <x v="1"/>
    <x v="0"/>
    <x v="0"/>
    <x v="0"/>
    <x v="0"/>
    <n v="38"/>
    <x v="0"/>
    <x v="1"/>
  </r>
  <r>
    <n v="15665"/>
    <x v="0"/>
    <x v="0"/>
    <n v="30000"/>
    <n v="0"/>
    <x v="0"/>
    <x v="1"/>
    <x v="0"/>
    <x v="0"/>
    <x v="0"/>
    <x v="0"/>
    <n v="47"/>
    <x v="0"/>
    <x v="1"/>
  </r>
  <r>
    <n v="27585"/>
    <x v="0"/>
    <x v="0"/>
    <n v="90000"/>
    <n v="2"/>
    <x v="0"/>
    <x v="2"/>
    <x v="1"/>
    <x v="0"/>
    <x v="0"/>
    <x v="1"/>
    <n v="36"/>
    <x v="0"/>
    <x v="1"/>
  </r>
  <r>
    <n v="19748"/>
    <x v="0"/>
    <x v="1"/>
    <n v="20000"/>
    <n v="4"/>
    <x v="2"/>
    <x v="0"/>
    <x v="1"/>
    <x v="2"/>
    <x v="3"/>
    <x v="1"/>
    <n v="60"/>
    <x v="1"/>
    <x v="0"/>
  </r>
  <r>
    <n v="21974"/>
    <x v="1"/>
    <x v="0"/>
    <n v="70000"/>
    <n v="0"/>
    <x v="0"/>
    <x v="2"/>
    <x v="0"/>
    <x v="1"/>
    <x v="2"/>
    <x v="1"/>
    <n v="42"/>
    <x v="0"/>
    <x v="1"/>
  </r>
  <r>
    <n v="14032"/>
    <x v="0"/>
    <x v="1"/>
    <n v="70000"/>
    <n v="2"/>
    <x v="2"/>
    <x v="0"/>
    <x v="1"/>
    <x v="2"/>
    <x v="3"/>
    <x v="1"/>
    <n v="50"/>
    <x v="0"/>
    <x v="1"/>
  </r>
  <r>
    <n v="22610"/>
    <x v="0"/>
    <x v="1"/>
    <n v="30000"/>
    <n v="0"/>
    <x v="0"/>
    <x v="1"/>
    <x v="0"/>
    <x v="0"/>
    <x v="0"/>
    <x v="0"/>
    <n v="35"/>
    <x v="0"/>
    <x v="1"/>
  </r>
  <r>
    <n v="26984"/>
    <x v="0"/>
    <x v="1"/>
    <n v="40000"/>
    <n v="1"/>
    <x v="0"/>
    <x v="0"/>
    <x v="0"/>
    <x v="1"/>
    <x v="0"/>
    <x v="0"/>
    <n v="32"/>
    <x v="0"/>
    <x v="1"/>
  </r>
  <r>
    <n v="18294"/>
    <x v="0"/>
    <x v="0"/>
    <n v="90000"/>
    <n v="1"/>
    <x v="0"/>
    <x v="2"/>
    <x v="0"/>
    <x v="1"/>
    <x v="2"/>
    <x v="1"/>
    <n v="46"/>
    <x v="0"/>
    <x v="0"/>
  </r>
  <r>
    <n v="28564"/>
    <x v="1"/>
    <x v="0"/>
    <n v="40000"/>
    <n v="2"/>
    <x v="1"/>
    <x v="1"/>
    <x v="0"/>
    <x v="0"/>
    <x v="3"/>
    <x v="0"/>
    <n v="33"/>
    <x v="0"/>
    <x v="1"/>
  </r>
  <r>
    <n v="28521"/>
    <x v="1"/>
    <x v="1"/>
    <n v="40000"/>
    <n v="0"/>
    <x v="4"/>
    <x v="1"/>
    <x v="1"/>
    <x v="0"/>
    <x v="0"/>
    <x v="0"/>
    <n v="36"/>
    <x v="0"/>
    <x v="1"/>
  </r>
  <r>
    <n v="15450"/>
    <x v="0"/>
    <x v="1"/>
    <n v="10000"/>
    <n v="1"/>
    <x v="4"/>
    <x v="1"/>
    <x v="0"/>
    <x v="0"/>
    <x v="0"/>
    <x v="0"/>
    <n v="70"/>
    <x v="1"/>
    <x v="0"/>
  </r>
  <r>
    <n v="25681"/>
    <x v="1"/>
    <x v="0"/>
    <n v="30000"/>
    <n v="0"/>
    <x v="1"/>
    <x v="1"/>
    <x v="1"/>
    <x v="1"/>
    <x v="1"/>
    <x v="0"/>
    <n v="31"/>
    <x v="0"/>
    <x v="1"/>
  </r>
  <r>
    <n v="19491"/>
    <x v="1"/>
    <x v="1"/>
    <n v="30000"/>
    <n v="2"/>
    <x v="1"/>
    <x v="1"/>
    <x v="0"/>
    <x v="2"/>
    <x v="0"/>
    <x v="0"/>
    <n v="42"/>
    <x v="0"/>
    <x v="0"/>
  </r>
  <r>
    <n v="26415"/>
    <x v="0"/>
    <x v="0"/>
    <n v="90000"/>
    <n v="4"/>
    <x v="3"/>
    <x v="0"/>
    <x v="0"/>
    <x v="3"/>
    <x v="4"/>
    <x v="0"/>
    <n v="58"/>
    <x v="1"/>
    <x v="0"/>
  </r>
  <r>
    <n v="12821"/>
    <x v="0"/>
    <x v="1"/>
    <n v="40000"/>
    <n v="0"/>
    <x v="0"/>
    <x v="1"/>
    <x v="0"/>
    <x v="0"/>
    <x v="0"/>
    <x v="0"/>
    <n v="39"/>
    <x v="0"/>
    <x v="0"/>
  </r>
  <r>
    <n v="15629"/>
    <x v="1"/>
    <x v="0"/>
    <n v="10000"/>
    <n v="0"/>
    <x v="3"/>
    <x v="3"/>
    <x v="0"/>
    <x v="2"/>
    <x v="3"/>
    <x v="0"/>
    <n v="34"/>
    <x v="0"/>
    <x v="0"/>
  </r>
  <r>
    <n v="27835"/>
    <x v="0"/>
    <x v="1"/>
    <n v="20000"/>
    <n v="0"/>
    <x v="3"/>
    <x v="3"/>
    <x v="0"/>
    <x v="2"/>
    <x v="0"/>
    <x v="0"/>
    <n v="32"/>
    <x v="0"/>
    <x v="0"/>
  </r>
  <r>
    <n v="11738"/>
    <x v="0"/>
    <x v="1"/>
    <n v="60000"/>
    <n v="4"/>
    <x v="0"/>
    <x v="2"/>
    <x v="0"/>
    <x v="0"/>
    <x v="1"/>
    <x v="2"/>
    <n v="46"/>
    <x v="0"/>
    <x v="0"/>
  </r>
  <r>
    <n v="25065"/>
    <x v="0"/>
    <x v="1"/>
    <n v="70000"/>
    <n v="2"/>
    <x v="3"/>
    <x v="0"/>
    <x v="0"/>
    <x v="2"/>
    <x v="2"/>
    <x v="2"/>
    <n v="48"/>
    <x v="0"/>
    <x v="0"/>
  </r>
  <r>
    <n v="26238"/>
    <x v="1"/>
    <x v="0"/>
    <n v="40000"/>
    <n v="3"/>
    <x v="1"/>
    <x v="1"/>
    <x v="0"/>
    <x v="1"/>
    <x v="3"/>
    <x v="2"/>
    <n v="31"/>
    <x v="0"/>
    <x v="1"/>
  </r>
  <r>
    <n v="23707"/>
    <x v="1"/>
    <x v="1"/>
    <n v="70000"/>
    <n v="5"/>
    <x v="0"/>
    <x v="4"/>
    <x v="0"/>
    <x v="4"/>
    <x v="4"/>
    <x v="2"/>
    <n v="60"/>
    <x v="1"/>
    <x v="1"/>
  </r>
  <r>
    <n v="27650"/>
    <x v="0"/>
    <x v="1"/>
    <n v="70000"/>
    <n v="4"/>
    <x v="2"/>
    <x v="2"/>
    <x v="0"/>
    <x v="0"/>
    <x v="2"/>
    <x v="2"/>
    <n v="51"/>
    <x v="0"/>
    <x v="0"/>
  </r>
  <r>
    <n v="24981"/>
    <x v="0"/>
    <x v="1"/>
    <n v="60000"/>
    <n v="2"/>
    <x v="1"/>
    <x v="2"/>
    <x v="0"/>
    <x v="2"/>
    <x v="4"/>
    <x v="2"/>
    <n v="56"/>
    <x v="1"/>
    <x v="0"/>
  </r>
  <r>
    <n v="20678"/>
    <x v="1"/>
    <x v="0"/>
    <n v="60000"/>
    <n v="3"/>
    <x v="0"/>
    <x v="0"/>
    <x v="0"/>
    <x v="1"/>
    <x v="1"/>
    <x v="2"/>
    <n v="40"/>
    <x v="0"/>
    <x v="1"/>
  </r>
  <r>
    <n v="15302"/>
    <x v="1"/>
    <x v="0"/>
    <n v="70000"/>
    <n v="1"/>
    <x v="4"/>
    <x v="2"/>
    <x v="0"/>
    <x v="0"/>
    <x v="1"/>
    <x v="2"/>
    <n v="34"/>
    <x v="0"/>
    <x v="1"/>
  </r>
  <r>
    <n v="26012"/>
    <x v="0"/>
    <x v="1"/>
    <n v="80000"/>
    <n v="1"/>
    <x v="1"/>
    <x v="0"/>
    <x v="0"/>
    <x v="1"/>
    <x v="1"/>
    <x v="2"/>
    <n v="48"/>
    <x v="0"/>
    <x v="1"/>
  </r>
  <r>
    <n v="26575"/>
    <x v="1"/>
    <x v="0"/>
    <n v="40000"/>
    <n v="0"/>
    <x v="2"/>
    <x v="0"/>
    <x v="1"/>
    <x v="2"/>
    <x v="3"/>
    <x v="2"/>
    <n v="31"/>
    <x v="0"/>
    <x v="1"/>
  </r>
  <r>
    <n v="15559"/>
    <x v="0"/>
    <x v="1"/>
    <n v="60000"/>
    <n v="5"/>
    <x v="0"/>
    <x v="2"/>
    <x v="0"/>
    <x v="1"/>
    <x v="1"/>
    <x v="2"/>
    <n v="47"/>
    <x v="0"/>
    <x v="0"/>
  </r>
  <r>
    <n v="19235"/>
    <x v="0"/>
    <x v="0"/>
    <n v="50000"/>
    <n v="0"/>
    <x v="4"/>
    <x v="0"/>
    <x v="0"/>
    <x v="0"/>
    <x v="0"/>
    <x v="2"/>
    <n v="34"/>
    <x v="0"/>
    <x v="0"/>
  </r>
  <r>
    <n v="15275"/>
    <x v="0"/>
    <x v="1"/>
    <n v="40000"/>
    <n v="0"/>
    <x v="1"/>
    <x v="0"/>
    <x v="0"/>
    <x v="1"/>
    <x v="2"/>
    <x v="2"/>
    <n v="29"/>
    <x v="2"/>
    <x v="0"/>
  </r>
  <r>
    <n v="20339"/>
    <x v="0"/>
    <x v="0"/>
    <n v="130000"/>
    <n v="1"/>
    <x v="0"/>
    <x v="4"/>
    <x v="0"/>
    <x v="3"/>
    <x v="1"/>
    <x v="2"/>
    <n v="44"/>
    <x v="0"/>
    <x v="1"/>
  </r>
  <r>
    <n v="25405"/>
    <x v="0"/>
    <x v="1"/>
    <n v="70000"/>
    <n v="2"/>
    <x v="0"/>
    <x v="0"/>
    <x v="0"/>
    <x v="1"/>
    <x v="1"/>
    <x v="2"/>
    <n v="38"/>
    <x v="0"/>
    <x v="1"/>
  </r>
  <r>
    <n v="15940"/>
    <x v="0"/>
    <x v="1"/>
    <n v="100000"/>
    <n v="4"/>
    <x v="1"/>
    <x v="2"/>
    <x v="0"/>
    <x v="3"/>
    <x v="0"/>
    <x v="2"/>
    <n v="40"/>
    <x v="0"/>
    <x v="0"/>
  </r>
  <r>
    <n v="25074"/>
    <x v="0"/>
    <x v="0"/>
    <n v="70000"/>
    <n v="4"/>
    <x v="0"/>
    <x v="2"/>
    <x v="0"/>
    <x v="2"/>
    <x v="1"/>
    <x v="2"/>
    <n v="42"/>
    <x v="0"/>
    <x v="1"/>
  </r>
  <r>
    <n v="24738"/>
    <x v="0"/>
    <x v="0"/>
    <n v="40000"/>
    <n v="1"/>
    <x v="1"/>
    <x v="1"/>
    <x v="0"/>
    <x v="1"/>
    <x v="3"/>
    <x v="2"/>
    <n v="51"/>
    <x v="0"/>
    <x v="1"/>
  </r>
  <r>
    <n v="16337"/>
    <x v="0"/>
    <x v="1"/>
    <n v="60000"/>
    <n v="0"/>
    <x v="1"/>
    <x v="0"/>
    <x v="1"/>
    <x v="2"/>
    <x v="3"/>
    <x v="2"/>
    <n v="29"/>
    <x v="2"/>
    <x v="0"/>
  </r>
  <r>
    <n v="24357"/>
    <x v="0"/>
    <x v="1"/>
    <n v="80000"/>
    <n v="3"/>
    <x v="0"/>
    <x v="2"/>
    <x v="0"/>
    <x v="1"/>
    <x v="1"/>
    <x v="2"/>
    <n v="48"/>
    <x v="0"/>
    <x v="1"/>
  </r>
  <r>
    <n v="18613"/>
    <x v="1"/>
    <x v="1"/>
    <n v="70000"/>
    <n v="0"/>
    <x v="0"/>
    <x v="2"/>
    <x v="1"/>
    <x v="1"/>
    <x v="1"/>
    <x v="2"/>
    <n v="37"/>
    <x v="0"/>
    <x v="1"/>
  </r>
  <r>
    <n v="12207"/>
    <x v="1"/>
    <x v="1"/>
    <n v="80000"/>
    <n v="4"/>
    <x v="0"/>
    <x v="4"/>
    <x v="0"/>
    <x v="0"/>
    <x v="2"/>
    <x v="2"/>
    <n v="66"/>
    <x v="1"/>
    <x v="1"/>
  </r>
  <r>
    <n v="18052"/>
    <x v="0"/>
    <x v="0"/>
    <n v="60000"/>
    <n v="1"/>
    <x v="1"/>
    <x v="0"/>
    <x v="0"/>
    <x v="1"/>
    <x v="0"/>
    <x v="2"/>
    <n v="45"/>
    <x v="0"/>
    <x v="1"/>
  </r>
  <r>
    <n v="13353"/>
    <x v="1"/>
    <x v="0"/>
    <n v="60000"/>
    <n v="4"/>
    <x v="4"/>
    <x v="4"/>
    <x v="0"/>
    <x v="2"/>
    <x v="4"/>
    <x v="2"/>
    <n v="61"/>
    <x v="1"/>
    <x v="1"/>
  </r>
  <r>
    <n v="19399"/>
    <x v="1"/>
    <x v="1"/>
    <n v="40000"/>
    <n v="0"/>
    <x v="0"/>
    <x v="2"/>
    <x v="1"/>
    <x v="1"/>
    <x v="1"/>
    <x v="2"/>
    <n v="45"/>
    <x v="0"/>
    <x v="0"/>
  </r>
  <r>
    <n v="16154"/>
    <x v="0"/>
    <x v="0"/>
    <n v="70000"/>
    <n v="5"/>
    <x v="0"/>
    <x v="2"/>
    <x v="0"/>
    <x v="2"/>
    <x v="1"/>
    <x v="2"/>
    <n v="47"/>
    <x v="0"/>
    <x v="0"/>
  </r>
  <r>
    <n v="22219"/>
    <x v="0"/>
    <x v="0"/>
    <n v="60000"/>
    <n v="2"/>
    <x v="2"/>
    <x v="2"/>
    <x v="0"/>
    <x v="2"/>
    <x v="2"/>
    <x v="2"/>
    <n v="49"/>
    <x v="0"/>
    <x v="0"/>
  </r>
  <r>
    <n v="17269"/>
    <x v="1"/>
    <x v="1"/>
    <n v="60000"/>
    <n v="3"/>
    <x v="0"/>
    <x v="2"/>
    <x v="1"/>
    <x v="0"/>
    <x v="0"/>
    <x v="2"/>
    <n v="47"/>
    <x v="0"/>
    <x v="1"/>
  </r>
  <r>
    <n v="23586"/>
    <x v="0"/>
    <x v="0"/>
    <n v="80000"/>
    <n v="0"/>
    <x v="0"/>
    <x v="4"/>
    <x v="0"/>
    <x v="1"/>
    <x v="3"/>
    <x v="2"/>
    <n v="34"/>
    <x v="0"/>
    <x v="1"/>
  </r>
  <r>
    <n v="15740"/>
    <x v="0"/>
    <x v="1"/>
    <n v="80000"/>
    <n v="5"/>
    <x v="0"/>
    <x v="4"/>
    <x v="0"/>
    <x v="2"/>
    <x v="3"/>
    <x v="2"/>
    <n v="64"/>
    <x v="1"/>
    <x v="0"/>
  </r>
  <r>
    <n v="27638"/>
    <x v="1"/>
    <x v="1"/>
    <n v="100000"/>
    <n v="1"/>
    <x v="1"/>
    <x v="2"/>
    <x v="1"/>
    <x v="4"/>
    <x v="3"/>
    <x v="2"/>
    <n v="44"/>
    <x v="0"/>
    <x v="0"/>
  </r>
  <r>
    <n v="18976"/>
    <x v="1"/>
    <x v="1"/>
    <n v="40000"/>
    <n v="4"/>
    <x v="2"/>
    <x v="2"/>
    <x v="0"/>
    <x v="2"/>
    <x v="4"/>
    <x v="2"/>
    <n v="62"/>
    <x v="1"/>
    <x v="1"/>
  </r>
  <r>
    <n v="19413"/>
    <x v="1"/>
    <x v="1"/>
    <n v="60000"/>
    <n v="3"/>
    <x v="0"/>
    <x v="2"/>
    <x v="1"/>
    <x v="1"/>
    <x v="0"/>
    <x v="2"/>
    <n v="47"/>
    <x v="0"/>
    <x v="1"/>
  </r>
  <r>
    <n v="13283"/>
    <x v="0"/>
    <x v="1"/>
    <n v="80000"/>
    <n v="3"/>
    <x v="1"/>
    <x v="2"/>
    <x v="1"/>
    <x v="2"/>
    <x v="0"/>
    <x v="2"/>
    <n v="49"/>
    <x v="0"/>
    <x v="1"/>
  </r>
  <r>
    <n v="17471"/>
    <x v="1"/>
    <x v="0"/>
    <n v="80000"/>
    <n v="4"/>
    <x v="4"/>
    <x v="4"/>
    <x v="0"/>
    <x v="2"/>
    <x v="2"/>
    <x v="2"/>
    <n v="67"/>
    <x v="1"/>
    <x v="0"/>
  </r>
  <r>
    <n v="16791"/>
    <x v="1"/>
    <x v="1"/>
    <n v="60000"/>
    <n v="5"/>
    <x v="0"/>
    <x v="4"/>
    <x v="0"/>
    <x v="4"/>
    <x v="4"/>
    <x v="2"/>
    <n v="59"/>
    <x v="1"/>
    <x v="1"/>
  </r>
  <r>
    <n v="15382"/>
    <x v="0"/>
    <x v="0"/>
    <n v="110000"/>
    <n v="1"/>
    <x v="0"/>
    <x v="4"/>
    <x v="0"/>
    <x v="2"/>
    <x v="3"/>
    <x v="2"/>
    <n v="44"/>
    <x v="0"/>
    <x v="0"/>
  </r>
  <r>
    <n v="11641"/>
    <x v="0"/>
    <x v="1"/>
    <n v="50000"/>
    <n v="1"/>
    <x v="0"/>
    <x v="0"/>
    <x v="0"/>
    <x v="0"/>
    <x v="0"/>
    <x v="2"/>
    <n v="36"/>
    <x v="0"/>
    <x v="0"/>
  </r>
  <r>
    <n v="11935"/>
    <x v="1"/>
    <x v="0"/>
    <n v="30000"/>
    <n v="0"/>
    <x v="1"/>
    <x v="0"/>
    <x v="0"/>
    <x v="1"/>
    <x v="2"/>
    <x v="2"/>
    <n v="28"/>
    <x v="2"/>
    <x v="0"/>
  </r>
  <r>
    <n v="13233"/>
    <x v="0"/>
    <x v="1"/>
    <n v="60000"/>
    <n v="2"/>
    <x v="1"/>
    <x v="2"/>
    <x v="0"/>
    <x v="1"/>
    <x v="4"/>
    <x v="2"/>
    <n v="57"/>
    <x v="1"/>
    <x v="1"/>
  </r>
  <r>
    <n v="25909"/>
    <x v="0"/>
    <x v="1"/>
    <n v="60000"/>
    <n v="0"/>
    <x v="1"/>
    <x v="0"/>
    <x v="0"/>
    <x v="1"/>
    <x v="2"/>
    <x v="2"/>
    <n v="27"/>
    <x v="2"/>
    <x v="1"/>
  </r>
  <r>
    <n v="14092"/>
    <x v="1"/>
    <x v="1"/>
    <n v="30000"/>
    <n v="0"/>
    <x v="3"/>
    <x v="1"/>
    <x v="0"/>
    <x v="2"/>
    <x v="2"/>
    <x v="2"/>
    <n v="28"/>
    <x v="2"/>
    <x v="0"/>
  </r>
  <r>
    <n v="29143"/>
    <x v="1"/>
    <x v="0"/>
    <n v="60000"/>
    <n v="1"/>
    <x v="0"/>
    <x v="2"/>
    <x v="1"/>
    <x v="1"/>
    <x v="0"/>
    <x v="2"/>
    <n v="44"/>
    <x v="0"/>
    <x v="1"/>
  </r>
  <r>
    <n v="24941"/>
    <x v="0"/>
    <x v="1"/>
    <n v="60000"/>
    <n v="3"/>
    <x v="0"/>
    <x v="4"/>
    <x v="0"/>
    <x v="2"/>
    <x v="4"/>
    <x v="2"/>
    <n v="66"/>
    <x v="1"/>
    <x v="0"/>
  </r>
  <r>
    <n v="24637"/>
    <x v="0"/>
    <x v="1"/>
    <n v="40000"/>
    <n v="4"/>
    <x v="2"/>
    <x v="2"/>
    <x v="0"/>
    <x v="2"/>
    <x v="4"/>
    <x v="2"/>
    <n v="64"/>
    <x v="1"/>
    <x v="0"/>
  </r>
  <r>
    <n v="23893"/>
    <x v="0"/>
    <x v="1"/>
    <n v="50000"/>
    <n v="3"/>
    <x v="0"/>
    <x v="0"/>
    <x v="0"/>
    <x v="4"/>
    <x v="4"/>
    <x v="2"/>
    <n v="41"/>
    <x v="0"/>
    <x v="0"/>
  </r>
  <r>
    <n v="13907"/>
    <x v="1"/>
    <x v="0"/>
    <n v="80000"/>
    <n v="3"/>
    <x v="0"/>
    <x v="0"/>
    <x v="0"/>
    <x v="1"/>
    <x v="0"/>
    <x v="2"/>
    <n v="41"/>
    <x v="0"/>
    <x v="1"/>
  </r>
  <r>
    <n v="14900"/>
    <x v="0"/>
    <x v="0"/>
    <n v="40000"/>
    <n v="1"/>
    <x v="1"/>
    <x v="1"/>
    <x v="0"/>
    <x v="1"/>
    <x v="3"/>
    <x v="2"/>
    <n v="49"/>
    <x v="0"/>
    <x v="1"/>
  </r>
  <r>
    <n v="11262"/>
    <x v="0"/>
    <x v="0"/>
    <n v="80000"/>
    <n v="4"/>
    <x v="0"/>
    <x v="4"/>
    <x v="0"/>
    <x v="0"/>
    <x v="0"/>
    <x v="2"/>
    <n v="42"/>
    <x v="0"/>
    <x v="0"/>
  </r>
  <r>
    <n v="22294"/>
    <x v="1"/>
    <x v="0"/>
    <n v="70000"/>
    <n v="0"/>
    <x v="0"/>
    <x v="2"/>
    <x v="1"/>
    <x v="1"/>
    <x v="1"/>
    <x v="2"/>
    <n v="37"/>
    <x v="0"/>
    <x v="1"/>
  </r>
  <r>
    <n v="12195"/>
    <x v="1"/>
    <x v="0"/>
    <n v="70000"/>
    <n v="3"/>
    <x v="4"/>
    <x v="4"/>
    <x v="0"/>
    <x v="2"/>
    <x v="3"/>
    <x v="2"/>
    <n v="52"/>
    <x v="0"/>
    <x v="0"/>
  </r>
  <r>
    <n v="25375"/>
    <x v="0"/>
    <x v="1"/>
    <n v="50000"/>
    <n v="1"/>
    <x v="4"/>
    <x v="0"/>
    <x v="0"/>
    <x v="0"/>
    <x v="3"/>
    <x v="2"/>
    <n v="34"/>
    <x v="0"/>
    <x v="0"/>
  </r>
  <r>
    <n v="11143"/>
    <x v="0"/>
    <x v="1"/>
    <n v="40000"/>
    <n v="0"/>
    <x v="2"/>
    <x v="0"/>
    <x v="0"/>
    <x v="2"/>
    <x v="2"/>
    <x v="2"/>
    <n v="29"/>
    <x v="2"/>
    <x v="0"/>
  </r>
  <r>
    <n v="25898"/>
    <x v="0"/>
    <x v="0"/>
    <n v="70000"/>
    <n v="2"/>
    <x v="2"/>
    <x v="2"/>
    <x v="0"/>
    <x v="2"/>
    <x v="1"/>
    <x v="2"/>
    <n v="53"/>
    <x v="0"/>
    <x v="0"/>
  </r>
  <r>
    <n v="24397"/>
    <x v="1"/>
    <x v="1"/>
    <n v="120000"/>
    <n v="2"/>
    <x v="0"/>
    <x v="4"/>
    <x v="1"/>
    <x v="3"/>
    <x v="3"/>
    <x v="2"/>
    <n v="40"/>
    <x v="0"/>
    <x v="0"/>
  </r>
  <r>
    <n v="19758"/>
    <x v="1"/>
    <x v="1"/>
    <n v="60000"/>
    <n v="0"/>
    <x v="1"/>
    <x v="0"/>
    <x v="1"/>
    <x v="2"/>
    <x v="3"/>
    <x v="2"/>
    <n v="29"/>
    <x v="2"/>
    <x v="0"/>
  </r>
  <r>
    <n v="15529"/>
    <x v="0"/>
    <x v="1"/>
    <n v="60000"/>
    <n v="4"/>
    <x v="0"/>
    <x v="2"/>
    <x v="0"/>
    <x v="2"/>
    <x v="1"/>
    <x v="2"/>
    <n v="43"/>
    <x v="0"/>
    <x v="1"/>
  </r>
  <r>
    <n v="19884"/>
    <x v="0"/>
    <x v="1"/>
    <n v="60000"/>
    <n v="2"/>
    <x v="2"/>
    <x v="2"/>
    <x v="0"/>
    <x v="2"/>
    <x v="1"/>
    <x v="2"/>
    <n v="55"/>
    <x v="1"/>
    <x v="1"/>
  </r>
  <r>
    <n v="18674"/>
    <x v="1"/>
    <x v="0"/>
    <n v="80000"/>
    <n v="4"/>
    <x v="4"/>
    <x v="0"/>
    <x v="1"/>
    <x v="0"/>
    <x v="0"/>
    <x v="2"/>
    <n v="48"/>
    <x v="0"/>
    <x v="0"/>
  </r>
  <r>
    <n v="13453"/>
    <x v="0"/>
    <x v="0"/>
    <n v="130000"/>
    <n v="3"/>
    <x v="0"/>
    <x v="4"/>
    <x v="0"/>
    <x v="4"/>
    <x v="0"/>
    <x v="2"/>
    <n v="45"/>
    <x v="0"/>
    <x v="1"/>
  </r>
  <r>
    <n v="14063"/>
    <x v="1"/>
    <x v="0"/>
    <n v="70000"/>
    <n v="0"/>
    <x v="0"/>
    <x v="2"/>
    <x v="1"/>
    <x v="1"/>
    <x v="0"/>
    <x v="1"/>
    <n v="42"/>
    <x v="0"/>
    <x v="1"/>
  </r>
  <r>
    <n v="27393"/>
    <x v="0"/>
    <x v="0"/>
    <n v="50000"/>
    <n v="4"/>
    <x v="0"/>
    <x v="4"/>
    <x v="0"/>
    <x v="2"/>
    <x v="4"/>
    <x v="2"/>
    <n v="63"/>
    <x v="1"/>
    <x v="0"/>
  </r>
  <r>
    <n v="14417"/>
    <x v="1"/>
    <x v="1"/>
    <n v="60000"/>
    <n v="3"/>
    <x v="2"/>
    <x v="2"/>
    <x v="0"/>
    <x v="2"/>
    <x v="4"/>
    <x v="2"/>
    <n v="54"/>
    <x v="0"/>
    <x v="1"/>
  </r>
  <r>
    <n v="17533"/>
    <x v="0"/>
    <x v="1"/>
    <n v="40000"/>
    <n v="3"/>
    <x v="1"/>
    <x v="2"/>
    <x v="1"/>
    <x v="2"/>
    <x v="2"/>
    <x v="2"/>
    <n v="73"/>
    <x v="1"/>
    <x v="1"/>
  </r>
  <r>
    <n v="18580"/>
    <x v="0"/>
    <x v="0"/>
    <n v="60000"/>
    <n v="2"/>
    <x v="4"/>
    <x v="2"/>
    <x v="0"/>
    <x v="0"/>
    <x v="1"/>
    <x v="2"/>
    <n v="40"/>
    <x v="0"/>
    <x v="1"/>
  </r>
  <r>
    <n v="17025"/>
    <x v="1"/>
    <x v="1"/>
    <n v="50000"/>
    <n v="0"/>
    <x v="1"/>
    <x v="0"/>
    <x v="1"/>
    <x v="1"/>
    <x v="1"/>
    <x v="2"/>
    <n v="39"/>
    <x v="0"/>
    <x v="1"/>
  </r>
  <r>
    <n v="25293"/>
    <x v="0"/>
    <x v="1"/>
    <n v="80000"/>
    <n v="4"/>
    <x v="0"/>
    <x v="4"/>
    <x v="0"/>
    <x v="0"/>
    <x v="3"/>
    <x v="2"/>
    <n v="42"/>
    <x v="0"/>
    <x v="0"/>
  </r>
  <r>
    <n v="24725"/>
    <x v="0"/>
    <x v="0"/>
    <n v="40000"/>
    <n v="3"/>
    <x v="1"/>
    <x v="1"/>
    <x v="0"/>
    <x v="0"/>
    <x v="3"/>
    <x v="2"/>
    <n v="31"/>
    <x v="0"/>
    <x v="0"/>
  </r>
  <r>
    <n v="23200"/>
    <x v="0"/>
    <x v="0"/>
    <n v="50000"/>
    <n v="3"/>
    <x v="0"/>
    <x v="0"/>
    <x v="0"/>
    <x v="2"/>
    <x v="0"/>
    <x v="2"/>
    <n v="41"/>
    <x v="0"/>
    <x v="0"/>
  </r>
  <r>
    <n v="15895"/>
    <x v="1"/>
    <x v="0"/>
    <n v="60000"/>
    <n v="2"/>
    <x v="0"/>
    <x v="4"/>
    <x v="0"/>
    <x v="0"/>
    <x v="4"/>
    <x v="2"/>
    <n v="58"/>
    <x v="1"/>
    <x v="0"/>
  </r>
  <r>
    <n v="18577"/>
    <x v="0"/>
    <x v="0"/>
    <n v="60000"/>
    <n v="0"/>
    <x v="4"/>
    <x v="2"/>
    <x v="0"/>
    <x v="0"/>
    <x v="0"/>
    <x v="2"/>
    <n v="40"/>
    <x v="0"/>
    <x v="0"/>
  </r>
  <r>
    <n v="27218"/>
    <x v="0"/>
    <x v="0"/>
    <n v="20000"/>
    <n v="2"/>
    <x v="3"/>
    <x v="1"/>
    <x v="1"/>
    <x v="0"/>
    <x v="0"/>
    <x v="2"/>
    <n v="48"/>
    <x v="0"/>
    <x v="0"/>
  </r>
  <r>
    <n v="18560"/>
    <x v="0"/>
    <x v="0"/>
    <n v="70000"/>
    <n v="2"/>
    <x v="4"/>
    <x v="2"/>
    <x v="0"/>
    <x v="0"/>
    <x v="1"/>
    <x v="2"/>
    <n v="34"/>
    <x v="0"/>
    <x v="1"/>
  </r>
  <r>
    <n v="25006"/>
    <x v="1"/>
    <x v="0"/>
    <n v="30000"/>
    <n v="0"/>
    <x v="1"/>
    <x v="0"/>
    <x v="0"/>
    <x v="1"/>
    <x v="2"/>
    <x v="2"/>
    <n v="28"/>
    <x v="2"/>
    <x v="0"/>
  </r>
  <r>
    <n v="17369"/>
    <x v="1"/>
    <x v="1"/>
    <n v="30000"/>
    <n v="0"/>
    <x v="1"/>
    <x v="0"/>
    <x v="0"/>
    <x v="1"/>
    <x v="2"/>
    <x v="2"/>
    <n v="27"/>
    <x v="2"/>
    <x v="0"/>
  </r>
  <r>
    <n v="14495"/>
    <x v="0"/>
    <x v="1"/>
    <n v="40000"/>
    <n v="3"/>
    <x v="1"/>
    <x v="2"/>
    <x v="1"/>
    <x v="2"/>
    <x v="2"/>
    <x v="2"/>
    <n v="54"/>
    <x v="0"/>
    <x v="1"/>
  </r>
  <r>
    <n v="18847"/>
    <x v="0"/>
    <x v="0"/>
    <n v="60000"/>
    <n v="2"/>
    <x v="4"/>
    <x v="4"/>
    <x v="0"/>
    <x v="2"/>
    <x v="2"/>
    <x v="2"/>
    <n v="70"/>
    <x v="1"/>
    <x v="0"/>
  </r>
  <r>
    <n v="14754"/>
    <x v="0"/>
    <x v="1"/>
    <n v="40000"/>
    <n v="1"/>
    <x v="1"/>
    <x v="1"/>
    <x v="0"/>
    <x v="1"/>
    <x v="3"/>
    <x v="2"/>
    <n v="48"/>
    <x v="0"/>
    <x v="1"/>
  </r>
  <r>
    <n v="23378"/>
    <x v="0"/>
    <x v="1"/>
    <n v="70000"/>
    <n v="1"/>
    <x v="1"/>
    <x v="0"/>
    <x v="0"/>
    <x v="1"/>
    <x v="1"/>
    <x v="2"/>
    <n v="44"/>
    <x v="0"/>
    <x v="1"/>
  </r>
  <r>
    <n v="26452"/>
    <x v="1"/>
    <x v="1"/>
    <n v="50000"/>
    <n v="3"/>
    <x v="4"/>
    <x v="4"/>
    <x v="0"/>
    <x v="2"/>
    <x v="4"/>
    <x v="2"/>
    <n v="69"/>
    <x v="1"/>
    <x v="0"/>
  </r>
  <r>
    <n v="20370"/>
    <x v="0"/>
    <x v="1"/>
    <n v="70000"/>
    <n v="3"/>
    <x v="3"/>
    <x v="0"/>
    <x v="0"/>
    <x v="2"/>
    <x v="2"/>
    <x v="2"/>
    <n v="52"/>
    <x v="0"/>
    <x v="0"/>
  </r>
  <r>
    <n v="20528"/>
    <x v="0"/>
    <x v="1"/>
    <n v="40000"/>
    <n v="2"/>
    <x v="3"/>
    <x v="0"/>
    <x v="0"/>
    <x v="2"/>
    <x v="1"/>
    <x v="2"/>
    <n v="55"/>
    <x v="1"/>
    <x v="0"/>
  </r>
  <r>
    <n v="23549"/>
    <x v="1"/>
    <x v="1"/>
    <n v="30000"/>
    <n v="0"/>
    <x v="2"/>
    <x v="0"/>
    <x v="0"/>
    <x v="2"/>
    <x v="2"/>
    <x v="2"/>
    <n v="30"/>
    <x v="2"/>
    <x v="0"/>
  </r>
  <r>
    <n v="21751"/>
    <x v="0"/>
    <x v="1"/>
    <n v="60000"/>
    <n v="3"/>
    <x v="4"/>
    <x v="4"/>
    <x v="0"/>
    <x v="2"/>
    <x v="3"/>
    <x v="2"/>
    <n v="63"/>
    <x v="1"/>
    <x v="0"/>
  </r>
  <r>
    <n v="21266"/>
    <x v="1"/>
    <x v="0"/>
    <n v="80000"/>
    <n v="0"/>
    <x v="0"/>
    <x v="4"/>
    <x v="0"/>
    <x v="1"/>
    <x v="3"/>
    <x v="2"/>
    <n v="34"/>
    <x v="0"/>
    <x v="1"/>
  </r>
  <r>
    <n v="13388"/>
    <x v="1"/>
    <x v="1"/>
    <n v="60000"/>
    <n v="2"/>
    <x v="1"/>
    <x v="2"/>
    <x v="0"/>
    <x v="1"/>
    <x v="4"/>
    <x v="2"/>
    <n v="56"/>
    <x v="1"/>
    <x v="0"/>
  </r>
  <r>
    <n v="18752"/>
    <x v="1"/>
    <x v="0"/>
    <n v="40000"/>
    <n v="0"/>
    <x v="2"/>
    <x v="0"/>
    <x v="0"/>
    <x v="1"/>
    <x v="2"/>
    <x v="2"/>
    <n v="31"/>
    <x v="0"/>
    <x v="0"/>
  </r>
  <r>
    <n v="16917"/>
    <x v="0"/>
    <x v="1"/>
    <n v="120000"/>
    <n v="1"/>
    <x v="0"/>
    <x v="4"/>
    <x v="0"/>
    <x v="3"/>
    <x v="0"/>
    <x v="2"/>
    <n v="38"/>
    <x v="0"/>
    <x v="0"/>
  </r>
  <r>
    <n v="15313"/>
    <x v="0"/>
    <x v="1"/>
    <n v="60000"/>
    <n v="4"/>
    <x v="0"/>
    <x v="4"/>
    <x v="0"/>
    <x v="2"/>
    <x v="1"/>
    <x v="2"/>
    <n v="59"/>
    <x v="1"/>
    <x v="0"/>
  </r>
  <r>
    <n v="25329"/>
    <x v="1"/>
    <x v="0"/>
    <n v="40000"/>
    <n v="3"/>
    <x v="1"/>
    <x v="1"/>
    <x v="1"/>
    <x v="2"/>
    <x v="0"/>
    <x v="2"/>
    <n v="32"/>
    <x v="0"/>
    <x v="0"/>
  </r>
  <r>
    <n v="20380"/>
    <x v="0"/>
    <x v="0"/>
    <n v="60000"/>
    <n v="3"/>
    <x v="4"/>
    <x v="4"/>
    <x v="0"/>
    <x v="2"/>
    <x v="4"/>
    <x v="2"/>
    <n v="69"/>
    <x v="1"/>
    <x v="0"/>
  </r>
  <r>
    <n v="23089"/>
    <x v="0"/>
    <x v="1"/>
    <n v="40000"/>
    <n v="0"/>
    <x v="1"/>
    <x v="0"/>
    <x v="0"/>
    <x v="1"/>
    <x v="2"/>
    <x v="2"/>
    <n v="28"/>
    <x v="2"/>
    <x v="0"/>
  </r>
  <r>
    <n v="13749"/>
    <x v="0"/>
    <x v="1"/>
    <n v="80000"/>
    <n v="4"/>
    <x v="4"/>
    <x v="0"/>
    <x v="0"/>
    <x v="0"/>
    <x v="3"/>
    <x v="2"/>
    <n v="47"/>
    <x v="0"/>
    <x v="0"/>
  </r>
  <r>
    <n v="24943"/>
    <x v="0"/>
    <x v="1"/>
    <n v="60000"/>
    <n v="3"/>
    <x v="0"/>
    <x v="4"/>
    <x v="0"/>
    <x v="2"/>
    <x v="4"/>
    <x v="2"/>
    <n v="66"/>
    <x v="1"/>
    <x v="0"/>
  </r>
  <r>
    <n v="28667"/>
    <x v="1"/>
    <x v="1"/>
    <n v="70000"/>
    <n v="2"/>
    <x v="0"/>
    <x v="0"/>
    <x v="1"/>
    <x v="1"/>
    <x v="0"/>
    <x v="2"/>
    <n v="37"/>
    <x v="0"/>
    <x v="1"/>
  </r>
  <r>
    <n v="15194"/>
    <x v="1"/>
    <x v="1"/>
    <n v="120000"/>
    <n v="2"/>
    <x v="0"/>
    <x v="4"/>
    <x v="1"/>
    <x v="4"/>
    <x v="0"/>
    <x v="2"/>
    <n v="39"/>
    <x v="0"/>
    <x v="1"/>
  </r>
  <r>
    <n v="17436"/>
    <x v="0"/>
    <x v="1"/>
    <n v="60000"/>
    <n v="2"/>
    <x v="2"/>
    <x v="2"/>
    <x v="1"/>
    <x v="2"/>
    <x v="3"/>
    <x v="2"/>
    <n v="51"/>
    <x v="0"/>
    <x v="0"/>
  </r>
  <r>
    <n v="18935"/>
    <x v="0"/>
    <x v="0"/>
    <n v="130000"/>
    <n v="0"/>
    <x v="4"/>
    <x v="4"/>
    <x v="0"/>
    <x v="4"/>
    <x v="3"/>
    <x v="2"/>
    <n v="40"/>
    <x v="0"/>
    <x v="0"/>
  </r>
  <r>
    <n v="16871"/>
    <x v="0"/>
    <x v="0"/>
    <n v="90000"/>
    <n v="2"/>
    <x v="2"/>
    <x v="2"/>
    <x v="0"/>
    <x v="1"/>
    <x v="4"/>
    <x v="2"/>
    <n v="51"/>
    <x v="0"/>
    <x v="1"/>
  </r>
  <r>
    <n v="12100"/>
    <x v="1"/>
    <x v="1"/>
    <n v="60000"/>
    <n v="2"/>
    <x v="0"/>
    <x v="4"/>
    <x v="0"/>
    <x v="0"/>
    <x v="4"/>
    <x v="2"/>
    <n v="57"/>
    <x v="1"/>
    <x v="0"/>
  </r>
  <r>
    <n v="23158"/>
    <x v="0"/>
    <x v="0"/>
    <n v="60000"/>
    <n v="1"/>
    <x v="4"/>
    <x v="2"/>
    <x v="1"/>
    <x v="0"/>
    <x v="0"/>
    <x v="2"/>
    <n v="35"/>
    <x v="0"/>
    <x v="1"/>
  </r>
  <r>
    <n v="18545"/>
    <x v="0"/>
    <x v="1"/>
    <n v="40000"/>
    <n v="4"/>
    <x v="2"/>
    <x v="2"/>
    <x v="1"/>
    <x v="2"/>
    <x v="4"/>
    <x v="2"/>
    <n v="61"/>
    <x v="1"/>
    <x v="1"/>
  </r>
  <r>
    <n v="18391"/>
    <x v="1"/>
    <x v="0"/>
    <n v="80000"/>
    <n v="5"/>
    <x v="1"/>
    <x v="2"/>
    <x v="0"/>
    <x v="2"/>
    <x v="2"/>
    <x v="2"/>
    <n v="44"/>
    <x v="0"/>
    <x v="0"/>
  </r>
  <r>
    <n v="19812"/>
    <x v="1"/>
    <x v="0"/>
    <n v="70000"/>
    <n v="2"/>
    <x v="1"/>
    <x v="2"/>
    <x v="0"/>
    <x v="0"/>
    <x v="2"/>
    <x v="2"/>
    <n v="49"/>
    <x v="0"/>
    <x v="1"/>
  </r>
  <r>
    <n v="27660"/>
    <x v="0"/>
    <x v="1"/>
    <n v="80000"/>
    <n v="4"/>
    <x v="4"/>
    <x v="4"/>
    <x v="0"/>
    <x v="2"/>
    <x v="2"/>
    <x v="2"/>
    <n v="70"/>
    <x v="1"/>
    <x v="0"/>
  </r>
  <r>
    <n v="18058"/>
    <x v="1"/>
    <x v="0"/>
    <n v="20000"/>
    <n v="3"/>
    <x v="2"/>
    <x v="0"/>
    <x v="0"/>
    <x v="2"/>
    <x v="1"/>
    <x v="2"/>
    <n v="78"/>
    <x v="1"/>
    <x v="0"/>
  </r>
  <r>
    <n v="20343"/>
    <x v="0"/>
    <x v="0"/>
    <n v="90000"/>
    <n v="4"/>
    <x v="1"/>
    <x v="2"/>
    <x v="0"/>
    <x v="1"/>
    <x v="3"/>
    <x v="2"/>
    <n v="45"/>
    <x v="0"/>
    <x v="0"/>
  </r>
  <r>
    <n v="28997"/>
    <x v="1"/>
    <x v="1"/>
    <n v="40000"/>
    <n v="2"/>
    <x v="2"/>
    <x v="2"/>
    <x v="1"/>
    <x v="1"/>
    <x v="1"/>
    <x v="2"/>
    <n v="58"/>
    <x v="1"/>
    <x v="1"/>
  </r>
  <r>
    <n v="24398"/>
    <x v="0"/>
    <x v="1"/>
    <n v="130000"/>
    <n v="1"/>
    <x v="4"/>
    <x v="4"/>
    <x v="0"/>
    <x v="3"/>
    <x v="0"/>
    <x v="2"/>
    <n v="41"/>
    <x v="0"/>
    <x v="0"/>
  </r>
  <r>
    <n v="19002"/>
    <x v="0"/>
    <x v="0"/>
    <n v="60000"/>
    <n v="2"/>
    <x v="1"/>
    <x v="2"/>
    <x v="0"/>
    <x v="1"/>
    <x v="1"/>
    <x v="2"/>
    <n v="57"/>
    <x v="1"/>
    <x v="1"/>
  </r>
  <r>
    <n v="28609"/>
    <x v="0"/>
    <x v="1"/>
    <n v="30000"/>
    <n v="2"/>
    <x v="2"/>
    <x v="0"/>
    <x v="1"/>
    <x v="2"/>
    <x v="0"/>
    <x v="2"/>
    <n v="49"/>
    <x v="0"/>
    <x v="0"/>
  </r>
  <r>
    <n v="29231"/>
    <x v="1"/>
    <x v="1"/>
    <n v="80000"/>
    <n v="4"/>
    <x v="1"/>
    <x v="2"/>
    <x v="1"/>
    <x v="2"/>
    <x v="0"/>
    <x v="2"/>
    <n v="43"/>
    <x v="0"/>
    <x v="0"/>
  </r>
  <r>
    <n v="18858"/>
    <x v="1"/>
    <x v="1"/>
    <n v="60000"/>
    <n v="2"/>
    <x v="3"/>
    <x v="0"/>
    <x v="0"/>
    <x v="2"/>
    <x v="2"/>
    <x v="2"/>
    <n v="52"/>
    <x v="0"/>
    <x v="1"/>
  </r>
  <r>
    <n v="20000"/>
    <x v="0"/>
    <x v="1"/>
    <n v="60000"/>
    <n v="1"/>
    <x v="4"/>
    <x v="2"/>
    <x v="0"/>
    <x v="0"/>
    <x v="0"/>
    <x v="2"/>
    <n v="35"/>
    <x v="0"/>
    <x v="1"/>
  </r>
  <r>
    <n v="25261"/>
    <x v="0"/>
    <x v="1"/>
    <n v="40000"/>
    <n v="0"/>
    <x v="2"/>
    <x v="0"/>
    <x v="0"/>
    <x v="2"/>
    <x v="2"/>
    <x v="2"/>
    <n v="27"/>
    <x v="2"/>
    <x v="0"/>
  </r>
  <r>
    <n v="17458"/>
    <x v="1"/>
    <x v="1"/>
    <n v="70000"/>
    <n v="3"/>
    <x v="2"/>
    <x v="2"/>
    <x v="0"/>
    <x v="0"/>
    <x v="2"/>
    <x v="2"/>
    <n v="52"/>
    <x v="0"/>
    <x v="1"/>
  </r>
  <r>
    <n v="11644"/>
    <x v="1"/>
    <x v="1"/>
    <n v="40000"/>
    <n v="2"/>
    <x v="0"/>
    <x v="0"/>
    <x v="0"/>
    <x v="0"/>
    <x v="1"/>
    <x v="2"/>
    <n v="36"/>
    <x v="0"/>
    <x v="0"/>
  </r>
  <r>
    <n v="16145"/>
    <x v="1"/>
    <x v="0"/>
    <n v="70000"/>
    <n v="5"/>
    <x v="4"/>
    <x v="2"/>
    <x v="0"/>
    <x v="4"/>
    <x v="4"/>
    <x v="2"/>
    <n v="46"/>
    <x v="0"/>
    <x v="1"/>
  </r>
  <r>
    <n v="16890"/>
    <x v="0"/>
    <x v="1"/>
    <n v="60000"/>
    <n v="3"/>
    <x v="3"/>
    <x v="0"/>
    <x v="0"/>
    <x v="2"/>
    <x v="2"/>
    <x v="2"/>
    <n v="52"/>
    <x v="0"/>
    <x v="1"/>
  </r>
  <r>
    <n v="25983"/>
    <x v="0"/>
    <x v="1"/>
    <n v="70000"/>
    <n v="0"/>
    <x v="0"/>
    <x v="2"/>
    <x v="1"/>
    <x v="1"/>
    <x v="0"/>
    <x v="2"/>
    <n v="43"/>
    <x v="0"/>
    <x v="0"/>
  </r>
  <r>
    <n v="14633"/>
    <x v="0"/>
    <x v="1"/>
    <n v="60000"/>
    <n v="1"/>
    <x v="1"/>
    <x v="0"/>
    <x v="0"/>
    <x v="1"/>
    <x v="1"/>
    <x v="2"/>
    <n v="44"/>
    <x v="0"/>
    <x v="0"/>
  </r>
  <r>
    <n v="22994"/>
    <x v="0"/>
    <x v="0"/>
    <n v="80000"/>
    <n v="0"/>
    <x v="0"/>
    <x v="4"/>
    <x v="0"/>
    <x v="1"/>
    <x v="3"/>
    <x v="2"/>
    <n v="34"/>
    <x v="0"/>
    <x v="1"/>
  </r>
  <r>
    <n v="22983"/>
    <x v="1"/>
    <x v="0"/>
    <n v="30000"/>
    <n v="0"/>
    <x v="3"/>
    <x v="1"/>
    <x v="0"/>
    <x v="2"/>
    <x v="2"/>
    <x v="2"/>
    <n v="27"/>
    <x v="2"/>
    <x v="0"/>
  </r>
  <r>
    <n v="25184"/>
    <x v="1"/>
    <x v="1"/>
    <n v="110000"/>
    <n v="1"/>
    <x v="1"/>
    <x v="2"/>
    <x v="0"/>
    <x v="3"/>
    <x v="2"/>
    <x v="2"/>
    <n v="45"/>
    <x v="0"/>
    <x v="1"/>
  </r>
  <r>
    <n v="14469"/>
    <x v="0"/>
    <x v="0"/>
    <n v="100000"/>
    <n v="3"/>
    <x v="1"/>
    <x v="2"/>
    <x v="0"/>
    <x v="3"/>
    <x v="3"/>
    <x v="2"/>
    <n v="45"/>
    <x v="0"/>
    <x v="0"/>
  </r>
  <r>
    <n v="11538"/>
    <x v="1"/>
    <x v="0"/>
    <n v="60000"/>
    <n v="4"/>
    <x v="4"/>
    <x v="0"/>
    <x v="1"/>
    <x v="0"/>
    <x v="0"/>
    <x v="2"/>
    <n v="47"/>
    <x v="0"/>
    <x v="1"/>
  </r>
  <r>
    <n v="16245"/>
    <x v="1"/>
    <x v="0"/>
    <n v="80000"/>
    <n v="4"/>
    <x v="4"/>
    <x v="0"/>
    <x v="0"/>
    <x v="0"/>
    <x v="3"/>
    <x v="2"/>
    <n v="47"/>
    <x v="0"/>
    <x v="0"/>
  </r>
  <r>
    <n v="17858"/>
    <x v="0"/>
    <x v="1"/>
    <n v="40000"/>
    <n v="4"/>
    <x v="2"/>
    <x v="0"/>
    <x v="0"/>
    <x v="2"/>
    <x v="1"/>
    <x v="2"/>
    <n v="44"/>
    <x v="0"/>
    <x v="1"/>
  </r>
  <r>
    <n v="25347"/>
    <x v="1"/>
    <x v="0"/>
    <n v="20000"/>
    <n v="3"/>
    <x v="3"/>
    <x v="1"/>
    <x v="1"/>
    <x v="2"/>
    <x v="0"/>
    <x v="2"/>
    <n v="49"/>
    <x v="0"/>
    <x v="0"/>
  </r>
  <r>
    <n v="15814"/>
    <x v="1"/>
    <x v="0"/>
    <n v="40000"/>
    <n v="0"/>
    <x v="2"/>
    <x v="0"/>
    <x v="0"/>
    <x v="1"/>
    <x v="2"/>
    <x v="2"/>
    <n v="30"/>
    <x v="2"/>
    <x v="0"/>
  </r>
  <r>
    <n v="11259"/>
    <x v="0"/>
    <x v="0"/>
    <n v="100000"/>
    <n v="4"/>
    <x v="1"/>
    <x v="2"/>
    <x v="0"/>
    <x v="3"/>
    <x v="1"/>
    <x v="2"/>
    <n v="41"/>
    <x v="0"/>
    <x v="1"/>
  </r>
  <r>
    <n v="11200"/>
    <x v="0"/>
    <x v="1"/>
    <n v="70000"/>
    <n v="4"/>
    <x v="0"/>
    <x v="4"/>
    <x v="0"/>
    <x v="1"/>
    <x v="3"/>
    <x v="2"/>
    <n v="58"/>
    <x v="1"/>
    <x v="0"/>
  </r>
  <r>
    <n v="25101"/>
    <x v="0"/>
    <x v="1"/>
    <n v="60000"/>
    <n v="5"/>
    <x v="0"/>
    <x v="2"/>
    <x v="0"/>
    <x v="1"/>
    <x v="1"/>
    <x v="2"/>
    <n v="47"/>
    <x v="0"/>
    <x v="0"/>
  </r>
  <r>
    <n v="21801"/>
    <x v="0"/>
    <x v="0"/>
    <n v="70000"/>
    <n v="4"/>
    <x v="1"/>
    <x v="2"/>
    <x v="0"/>
    <x v="1"/>
    <x v="3"/>
    <x v="2"/>
    <n v="55"/>
    <x v="1"/>
    <x v="0"/>
  </r>
  <r>
    <n v="25943"/>
    <x v="1"/>
    <x v="0"/>
    <n v="70000"/>
    <n v="0"/>
    <x v="1"/>
    <x v="0"/>
    <x v="1"/>
    <x v="2"/>
    <x v="0"/>
    <x v="2"/>
    <n v="27"/>
    <x v="2"/>
    <x v="1"/>
  </r>
  <r>
    <n v="22127"/>
    <x v="0"/>
    <x v="1"/>
    <n v="60000"/>
    <n v="3"/>
    <x v="4"/>
    <x v="4"/>
    <x v="0"/>
    <x v="2"/>
    <x v="3"/>
    <x v="2"/>
    <n v="67"/>
    <x v="1"/>
    <x v="0"/>
  </r>
  <r>
    <n v="20414"/>
    <x v="0"/>
    <x v="0"/>
    <n v="60000"/>
    <n v="0"/>
    <x v="1"/>
    <x v="0"/>
    <x v="0"/>
    <x v="2"/>
    <x v="2"/>
    <x v="2"/>
    <n v="29"/>
    <x v="2"/>
    <x v="0"/>
  </r>
  <r>
    <n v="23672"/>
    <x v="0"/>
    <x v="0"/>
    <n v="60000"/>
    <n v="3"/>
    <x v="4"/>
    <x v="4"/>
    <x v="0"/>
    <x v="2"/>
    <x v="3"/>
    <x v="2"/>
    <n v="67"/>
    <x v="1"/>
    <x v="0"/>
  </r>
  <r>
    <n v="29255"/>
    <x v="1"/>
    <x v="1"/>
    <n v="80000"/>
    <n v="3"/>
    <x v="1"/>
    <x v="2"/>
    <x v="1"/>
    <x v="1"/>
    <x v="3"/>
    <x v="2"/>
    <n v="51"/>
    <x v="0"/>
    <x v="1"/>
  </r>
  <r>
    <n v="28815"/>
    <x v="0"/>
    <x v="0"/>
    <n v="50000"/>
    <n v="1"/>
    <x v="4"/>
    <x v="0"/>
    <x v="0"/>
    <x v="0"/>
    <x v="0"/>
    <x v="2"/>
    <n v="35"/>
    <x v="0"/>
    <x v="0"/>
  </r>
  <r>
    <n v="27753"/>
    <x v="0"/>
    <x v="1"/>
    <n v="40000"/>
    <n v="0"/>
    <x v="2"/>
    <x v="0"/>
    <x v="1"/>
    <x v="2"/>
    <x v="3"/>
    <x v="2"/>
    <n v="30"/>
    <x v="2"/>
    <x v="0"/>
  </r>
  <r>
    <n v="27643"/>
    <x v="1"/>
    <x v="1"/>
    <n v="70000"/>
    <n v="5"/>
    <x v="1"/>
    <x v="2"/>
    <x v="0"/>
    <x v="4"/>
    <x v="1"/>
    <x v="2"/>
    <n v="44"/>
    <x v="0"/>
    <x v="0"/>
  </r>
  <r>
    <n v="13754"/>
    <x v="1"/>
    <x v="0"/>
    <n v="80000"/>
    <n v="4"/>
    <x v="4"/>
    <x v="0"/>
    <x v="0"/>
    <x v="0"/>
    <x v="3"/>
    <x v="2"/>
    <n v="48"/>
    <x v="0"/>
    <x v="0"/>
  </r>
  <r>
    <n v="22088"/>
    <x v="0"/>
    <x v="0"/>
    <n v="130000"/>
    <n v="1"/>
    <x v="0"/>
    <x v="4"/>
    <x v="0"/>
    <x v="2"/>
    <x v="0"/>
    <x v="2"/>
    <n v="45"/>
    <x v="0"/>
    <x v="1"/>
  </r>
  <r>
    <n v="27388"/>
    <x v="0"/>
    <x v="1"/>
    <n v="60000"/>
    <n v="3"/>
    <x v="0"/>
    <x v="4"/>
    <x v="1"/>
    <x v="2"/>
    <x v="3"/>
    <x v="2"/>
    <n v="66"/>
    <x v="1"/>
    <x v="0"/>
  </r>
  <r>
    <n v="24745"/>
    <x v="1"/>
    <x v="0"/>
    <n v="30000"/>
    <n v="2"/>
    <x v="2"/>
    <x v="0"/>
    <x v="1"/>
    <x v="2"/>
    <x v="0"/>
    <x v="2"/>
    <n v="49"/>
    <x v="0"/>
    <x v="0"/>
  </r>
  <r>
    <n v="29237"/>
    <x v="1"/>
    <x v="0"/>
    <n v="120000"/>
    <n v="4"/>
    <x v="1"/>
    <x v="2"/>
    <x v="0"/>
    <x v="4"/>
    <x v="2"/>
    <x v="2"/>
    <n v="43"/>
    <x v="0"/>
    <x v="1"/>
  </r>
  <r>
    <n v="15272"/>
    <x v="1"/>
    <x v="1"/>
    <n v="40000"/>
    <n v="0"/>
    <x v="2"/>
    <x v="0"/>
    <x v="1"/>
    <x v="2"/>
    <x v="3"/>
    <x v="2"/>
    <n v="30"/>
    <x v="2"/>
    <x v="0"/>
  </r>
  <r>
    <n v="18949"/>
    <x v="1"/>
    <x v="1"/>
    <n v="70000"/>
    <n v="0"/>
    <x v="4"/>
    <x v="4"/>
    <x v="0"/>
    <x v="2"/>
    <x v="2"/>
    <x v="2"/>
    <n v="74"/>
    <x v="1"/>
    <x v="1"/>
  </r>
  <r>
    <n v="14507"/>
    <x v="0"/>
    <x v="1"/>
    <n v="100000"/>
    <n v="2"/>
    <x v="4"/>
    <x v="4"/>
    <x v="0"/>
    <x v="4"/>
    <x v="3"/>
    <x v="2"/>
    <n v="65"/>
    <x v="1"/>
    <x v="0"/>
  </r>
  <r>
    <n v="25886"/>
    <x v="0"/>
    <x v="0"/>
    <n v="60000"/>
    <n v="2"/>
    <x v="1"/>
    <x v="2"/>
    <x v="0"/>
    <x v="2"/>
    <x v="1"/>
    <x v="2"/>
    <n v="56"/>
    <x v="1"/>
    <x v="1"/>
  </r>
  <r>
    <n v="21441"/>
    <x v="0"/>
    <x v="1"/>
    <n v="50000"/>
    <n v="4"/>
    <x v="0"/>
    <x v="4"/>
    <x v="0"/>
    <x v="2"/>
    <x v="4"/>
    <x v="2"/>
    <n v="64"/>
    <x v="1"/>
    <x v="0"/>
  </r>
  <r>
    <n v="21741"/>
    <x v="0"/>
    <x v="0"/>
    <n v="70000"/>
    <n v="3"/>
    <x v="1"/>
    <x v="2"/>
    <x v="0"/>
    <x v="2"/>
    <x v="2"/>
    <x v="2"/>
    <n v="50"/>
    <x v="0"/>
    <x v="1"/>
  </r>
  <r>
    <n v="14572"/>
    <x v="0"/>
    <x v="0"/>
    <n v="70000"/>
    <n v="3"/>
    <x v="4"/>
    <x v="2"/>
    <x v="0"/>
    <x v="0"/>
    <x v="1"/>
    <x v="2"/>
    <n v="35"/>
    <x v="0"/>
    <x v="1"/>
  </r>
  <r>
    <n v="23368"/>
    <x v="0"/>
    <x v="0"/>
    <n v="60000"/>
    <n v="5"/>
    <x v="0"/>
    <x v="0"/>
    <x v="0"/>
    <x v="4"/>
    <x v="4"/>
    <x v="2"/>
    <n v="41"/>
    <x v="0"/>
    <x v="0"/>
  </r>
  <r>
    <n v="16217"/>
    <x v="1"/>
    <x v="0"/>
    <n v="60000"/>
    <n v="0"/>
    <x v="4"/>
    <x v="0"/>
    <x v="0"/>
    <x v="0"/>
    <x v="0"/>
    <x v="2"/>
    <n v="39"/>
    <x v="0"/>
    <x v="0"/>
  </r>
  <r>
    <n v="16247"/>
    <x v="1"/>
    <x v="0"/>
    <n v="60000"/>
    <n v="4"/>
    <x v="4"/>
    <x v="0"/>
    <x v="1"/>
    <x v="0"/>
    <x v="3"/>
    <x v="2"/>
    <n v="47"/>
    <x v="0"/>
    <x v="0"/>
  </r>
  <r>
    <n v="22010"/>
    <x v="1"/>
    <x v="1"/>
    <n v="40000"/>
    <n v="0"/>
    <x v="2"/>
    <x v="0"/>
    <x v="0"/>
    <x v="2"/>
    <x v="2"/>
    <x v="2"/>
    <n v="31"/>
    <x v="0"/>
    <x v="0"/>
  </r>
  <r>
    <n v="25872"/>
    <x v="1"/>
    <x v="0"/>
    <n v="70000"/>
    <n v="2"/>
    <x v="0"/>
    <x v="4"/>
    <x v="1"/>
    <x v="1"/>
    <x v="1"/>
    <x v="2"/>
    <n v="58"/>
    <x v="1"/>
    <x v="1"/>
  </r>
  <r>
    <n v="19164"/>
    <x v="1"/>
    <x v="0"/>
    <n v="70000"/>
    <n v="0"/>
    <x v="0"/>
    <x v="2"/>
    <x v="1"/>
    <x v="1"/>
    <x v="1"/>
    <x v="2"/>
    <n v="38"/>
    <x v="0"/>
    <x v="1"/>
  </r>
  <r>
    <n v="18435"/>
    <x v="1"/>
    <x v="0"/>
    <n v="70000"/>
    <n v="5"/>
    <x v="4"/>
    <x v="4"/>
    <x v="0"/>
    <x v="2"/>
    <x v="4"/>
    <x v="2"/>
    <n v="67"/>
    <x v="1"/>
    <x v="1"/>
  </r>
  <r>
    <n v="14284"/>
    <x v="1"/>
    <x v="1"/>
    <n v="60000"/>
    <n v="0"/>
    <x v="1"/>
    <x v="2"/>
    <x v="1"/>
    <x v="2"/>
    <x v="3"/>
    <x v="2"/>
    <n v="32"/>
    <x v="0"/>
    <x v="1"/>
  </r>
  <r>
    <n v="11287"/>
    <x v="0"/>
    <x v="1"/>
    <n v="70000"/>
    <n v="5"/>
    <x v="1"/>
    <x v="2"/>
    <x v="1"/>
    <x v="4"/>
    <x v="2"/>
    <x v="2"/>
    <n v="45"/>
    <x v="0"/>
    <x v="0"/>
  </r>
  <r>
    <n v="13066"/>
    <x v="1"/>
    <x v="1"/>
    <n v="30000"/>
    <n v="0"/>
    <x v="2"/>
    <x v="0"/>
    <x v="1"/>
    <x v="2"/>
    <x v="3"/>
    <x v="2"/>
    <n v="31"/>
    <x v="0"/>
    <x v="1"/>
  </r>
  <r>
    <n v="29106"/>
    <x v="1"/>
    <x v="1"/>
    <n v="40000"/>
    <n v="0"/>
    <x v="2"/>
    <x v="0"/>
    <x v="1"/>
    <x v="2"/>
    <x v="3"/>
    <x v="2"/>
    <n v="31"/>
    <x v="0"/>
    <x v="1"/>
  </r>
  <r>
    <n v="26236"/>
    <x v="0"/>
    <x v="0"/>
    <n v="40000"/>
    <n v="3"/>
    <x v="1"/>
    <x v="1"/>
    <x v="0"/>
    <x v="1"/>
    <x v="0"/>
    <x v="2"/>
    <n v="31"/>
    <x v="0"/>
    <x v="0"/>
  </r>
  <r>
    <n v="17531"/>
    <x v="0"/>
    <x v="1"/>
    <n v="60000"/>
    <n v="2"/>
    <x v="2"/>
    <x v="2"/>
    <x v="1"/>
    <x v="2"/>
    <x v="2"/>
    <x v="2"/>
    <n v="50"/>
    <x v="0"/>
    <x v="0"/>
  </r>
  <r>
    <n v="12964"/>
    <x v="0"/>
    <x v="1"/>
    <n v="70000"/>
    <n v="1"/>
    <x v="1"/>
    <x v="0"/>
    <x v="0"/>
    <x v="1"/>
    <x v="0"/>
    <x v="2"/>
    <n v="44"/>
    <x v="0"/>
    <x v="0"/>
  </r>
  <r>
    <n v="19133"/>
    <x v="1"/>
    <x v="1"/>
    <n v="50000"/>
    <n v="2"/>
    <x v="0"/>
    <x v="0"/>
    <x v="0"/>
    <x v="1"/>
    <x v="1"/>
    <x v="2"/>
    <n v="38"/>
    <x v="0"/>
    <x v="1"/>
  </r>
  <r>
    <n v="24643"/>
    <x v="1"/>
    <x v="0"/>
    <n v="60000"/>
    <n v="4"/>
    <x v="0"/>
    <x v="4"/>
    <x v="0"/>
    <x v="2"/>
    <x v="4"/>
    <x v="2"/>
    <n v="63"/>
    <x v="1"/>
    <x v="0"/>
  </r>
  <r>
    <n v="21599"/>
    <x v="0"/>
    <x v="0"/>
    <n v="60000"/>
    <n v="1"/>
    <x v="4"/>
    <x v="2"/>
    <x v="0"/>
    <x v="0"/>
    <x v="1"/>
    <x v="2"/>
    <n v="36"/>
    <x v="0"/>
    <x v="1"/>
  </r>
  <r>
    <n v="22976"/>
    <x v="1"/>
    <x v="1"/>
    <n v="40000"/>
    <n v="0"/>
    <x v="2"/>
    <x v="0"/>
    <x v="1"/>
    <x v="2"/>
    <x v="0"/>
    <x v="2"/>
    <n v="28"/>
    <x v="2"/>
    <x v="1"/>
  </r>
  <r>
    <n v="27637"/>
    <x v="1"/>
    <x v="0"/>
    <n v="100000"/>
    <n v="1"/>
    <x v="1"/>
    <x v="2"/>
    <x v="1"/>
    <x v="4"/>
    <x v="3"/>
    <x v="2"/>
    <n v="44"/>
    <x v="0"/>
    <x v="0"/>
  </r>
  <r>
    <n v="11890"/>
    <x v="0"/>
    <x v="0"/>
    <n v="70000"/>
    <n v="5"/>
    <x v="4"/>
    <x v="2"/>
    <x v="0"/>
    <x v="1"/>
    <x v="0"/>
    <x v="2"/>
    <n v="47"/>
    <x v="0"/>
    <x v="0"/>
  </r>
  <r>
    <n v="28580"/>
    <x v="0"/>
    <x v="0"/>
    <n v="80000"/>
    <n v="0"/>
    <x v="4"/>
    <x v="0"/>
    <x v="0"/>
    <x v="0"/>
    <x v="3"/>
    <x v="2"/>
    <n v="40"/>
    <x v="0"/>
    <x v="1"/>
  </r>
  <r>
    <n v="14443"/>
    <x v="0"/>
    <x v="1"/>
    <n v="130000"/>
    <n v="1"/>
    <x v="4"/>
    <x v="4"/>
    <x v="0"/>
    <x v="3"/>
    <x v="0"/>
    <x v="2"/>
    <n v="40"/>
    <x v="0"/>
    <x v="0"/>
  </r>
  <r>
    <n v="17864"/>
    <x v="0"/>
    <x v="0"/>
    <n v="60000"/>
    <n v="1"/>
    <x v="1"/>
    <x v="0"/>
    <x v="0"/>
    <x v="1"/>
    <x v="1"/>
    <x v="2"/>
    <n v="46"/>
    <x v="0"/>
    <x v="1"/>
  </r>
  <r>
    <n v="20505"/>
    <x v="0"/>
    <x v="0"/>
    <n v="40000"/>
    <n v="5"/>
    <x v="2"/>
    <x v="2"/>
    <x v="1"/>
    <x v="2"/>
    <x v="4"/>
    <x v="2"/>
    <n v="61"/>
    <x v="1"/>
    <x v="0"/>
  </r>
  <r>
    <n v="14592"/>
    <x v="0"/>
    <x v="0"/>
    <n v="60000"/>
    <n v="0"/>
    <x v="4"/>
    <x v="2"/>
    <x v="0"/>
    <x v="0"/>
    <x v="0"/>
    <x v="2"/>
    <n v="40"/>
    <x v="0"/>
    <x v="0"/>
  </r>
  <r>
    <n v="22227"/>
    <x v="0"/>
    <x v="0"/>
    <n v="60000"/>
    <n v="2"/>
    <x v="2"/>
    <x v="2"/>
    <x v="0"/>
    <x v="2"/>
    <x v="2"/>
    <x v="2"/>
    <n v="50"/>
    <x v="0"/>
    <x v="0"/>
  </r>
  <r>
    <n v="21471"/>
    <x v="0"/>
    <x v="1"/>
    <n v="70000"/>
    <n v="2"/>
    <x v="1"/>
    <x v="2"/>
    <x v="0"/>
    <x v="1"/>
    <x v="4"/>
    <x v="2"/>
    <n v="59"/>
    <x v="1"/>
    <x v="0"/>
  </r>
  <r>
    <n v="22252"/>
    <x v="1"/>
    <x v="0"/>
    <n v="60000"/>
    <n v="1"/>
    <x v="4"/>
    <x v="2"/>
    <x v="0"/>
    <x v="0"/>
    <x v="1"/>
    <x v="2"/>
    <n v="36"/>
    <x v="0"/>
    <x v="1"/>
  </r>
  <r>
    <n v="21260"/>
    <x v="1"/>
    <x v="0"/>
    <n v="40000"/>
    <n v="0"/>
    <x v="2"/>
    <x v="0"/>
    <x v="0"/>
    <x v="2"/>
    <x v="2"/>
    <x v="2"/>
    <n v="30"/>
    <x v="2"/>
    <x v="0"/>
  </r>
  <r>
    <n v="11817"/>
    <x v="1"/>
    <x v="0"/>
    <n v="70000"/>
    <n v="4"/>
    <x v="4"/>
    <x v="2"/>
    <x v="0"/>
    <x v="0"/>
    <x v="1"/>
    <x v="2"/>
    <n v="35"/>
    <x v="0"/>
    <x v="1"/>
  </r>
  <r>
    <n v="19223"/>
    <x v="0"/>
    <x v="0"/>
    <n v="30000"/>
    <n v="2"/>
    <x v="2"/>
    <x v="0"/>
    <x v="0"/>
    <x v="2"/>
    <x v="3"/>
    <x v="2"/>
    <n v="48"/>
    <x v="0"/>
    <x v="0"/>
  </r>
  <r>
    <n v="18517"/>
    <x v="0"/>
    <x v="1"/>
    <n v="100000"/>
    <n v="3"/>
    <x v="0"/>
    <x v="4"/>
    <x v="0"/>
    <x v="3"/>
    <x v="0"/>
    <x v="2"/>
    <n v="41"/>
    <x v="0"/>
    <x v="0"/>
  </r>
  <r>
    <n v="21717"/>
    <x v="0"/>
    <x v="1"/>
    <n v="40000"/>
    <n v="2"/>
    <x v="1"/>
    <x v="1"/>
    <x v="0"/>
    <x v="1"/>
    <x v="0"/>
    <x v="2"/>
    <n v="47"/>
    <x v="0"/>
    <x v="0"/>
  </r>
  <r>
    <n v="13760"/>
    <x v="0"/>
    <x v="1"/>
    <n v="60000"/>
    <n v="4"/>
    <x v="4"/>
    <x v="0"/>
    <x v="1"/>
    <x v="0"/>
    <x v="0"/>
    <x v="2"/>
    <n v="47"/>
    <x v="0"/>
    <x v="0"/>
  </r>
  <r>
    <n v="18145"/>
    <x v="0"/>
    <x v="1"/>
    <n v="80000"/>
    <n v="5"/>
    <x v="0"/>
    <x v="4"/>
    <x v="1"/>
    <x v="2"/>
    <x v="1"/>
    <x v="0"/>
    <n v="62"/>
    <x v="1"/>
    <x v="0"/>
  </r>
  <r>
    <n v="21770"/>
    <x v="0"/>
    <x v="1"/>
    <n v="60000"/>
    <n v="4"/>
    <x v="0"/>
    <x v="4"/>
    <x v="0"/>
    <x v="2"/>
    <x v="4"/>
    <x v="2"/>
    <n v="60"/>
    <x v="1"/>
    <x v="0"/>
  </r>
  <r>
    <n v="11165"/>
    <x v="0"/>
    <x v="0"/>
    <n v="60000"/>
    <n v="0"/>
    <x v="1"/>
    <x v="0"/>
    <x v="1"/>
    <x v="1"/>
    <x v="3"/>
    <x v="2"/>
    <n v="33"/>
    <x v="0"/>
    <x v="0"/>
  </r>
  <r>
    <n v="16377"/>
    <x v="1"/>
    <x v="0"/>
    <n v="80000"/>
    <n v="4"/>
    <x v="4"/>
    <x v="0"/>
    <x v="1"/>
    <x v="0"/>
    <x v="0"/>
    <x v="2"/>
    <n v="47"/>
    <x v="0"/>
    <x v="0"/>
  </r>
  <r>
    <n v="26248"/>
    <x v="0"/>
    <x v="1"/>
    <n v="20000"/>
    <n v="3"/>
    <x v="3"/>
    <x v="1"/>
    <x v="1"/>
    <x v="2"/>
    <x v="0"/>
    <x v="2"/>
    <n v="52"/>
    <x v="0"/>
    <x v="0"/>
  </r>
  <r>
    <n v="23461"/>
    <x v="0"/>
    <x v="0"/>
    <n v="90000"/>
    <n v="5"/>
    <x v="1"/>
    <x v="2"/>
    <x v="0"/>
    <x v="4"/>
    <x v="1"/>
    <x v="2"/>
    <n v="40"/>
    <x v="0"/>
    <x v="0"/>
  </r>
  <r>
    <n v="29133"/>
    <x v="1"/>
    <x v="0"/>
    <n v="60000"/>
    <n v="4"/>
    <x v="0"/>
    <x v="0"/>
    <x v="1"/>
    <x v="2"/>
    <x v="0"/>
    <x v="2"/>
    <n v="42"/>
    <x v="0"/>
    <x v="0"/>
  </r>
  <r>
    <n v="27673"/>
    <x v="1"/>
    <x v="0"/>
    <n v="60000"/>
    <n v="3"/>
    <x v="4"/>
    <x v="4"/>
    <x v="0"/>
    <x v="2"/>
    <x v="2"/>
    <x v="2"/>
    <n v="53"/>
    <x v="0"/>
    <x v="1"/>
  </r>
  <r>
    <n v="12774"/>
    <x v="0"/>
    <x v="0"/>
    <n v="40000"/>
    <n v="1"/>
    <x v="1"/>
    <x v="1"/>
    <x v="0"/>
    <x v="1"/>
    <x v="3"/>
    <x v="2"/>
    <n v="51"/>
    <x v="0"/>
    <x v="1"/>
  </r>
  <r>
    <n v="18910"/>
    <x v="1"/>
    <x v="1"/>
    <n v="30000"/>
    <n v="0"/>
    <x v="1"/>
    <x v="0"/>
    <x v="0"/>
    <x v="2"/>
    <x v="2"/>
    <x v="2"/>
    <n v="30"/>
    <x v="2"/>
    <x v="0"/>
  </r>
  <r>
    <n v="11699"/>
    <x v="1"/>
    <x v="1"/>
    <n v="60000"/>
    <n v="0"/>
    <x v="0"/>
    <x v="0"/>
    <x v="1"/>
    <x v="2"/>
    <x v="0"/>
    <x v="2"/>
    <n v="30"/>
    <x v="2"/>
    <x v="0"/>
  </r>
  <r>
    <n v="16725"/>
    <x v="0"/>
    <x v="1"/>
    <n v="30000"/>
    <n v="0"/>
    <x v="2"/>
    <x v="0"/>
    <x v="0"/>
    <x v="2"/>
    <x v="2"/>
    <x v="2"/>
    <n v="26"/>
    <x v="2"/>
    <x v="0"/>
  </r>
  <r>
    <n v="28269"/>
    <x v="1"/>
    <x v="0"/>
    <n v="130000"/>
    <n v="1"/>
    <x v="0"/>
    <x v="4"/>
    <x v="1"/>
    <x v="1"/>
    <x v="1"/>
    <x v="2"/>
    <n v="45"/>
    <x v="0"/>
    <x v="0"/>
  </r>
  <r>
    <n v="23144"/>
    <x v="0"/>
    <x v="1"/>
    <n v="50000"/>
    <n v="1"/>
    <x v="0"/>
    <x v="0"/>
    <x v="0"/>
    <x v="0"/>
    <x v="0"/>
    <x v="2"/>
    <n v="34"/>
    <x v="0"/>
    <x v="1"/>
  </r>
  <r>
    <n v="23376"/>
    <x v="0"/>
    <x v="1"/>
    <n v="70000"/>
    <n v="1"/>
    <x v="0"/>
    <x v="2"/>
    <x v="0"/>
    <x v="1"/>
    <x v="1"/>
    <x v="2"/>
    <n v="44"/>
    <x v="0"/>
    <x v="1"/>
  </r>
  <r>
    <n v="25970"/>
    <x v="1"/>
    <x v="0"/>
    <n v="60000"/>
    <n v="4"/>
    <x v="0"/>
    <x v="0"/>
    <x v="1"/>
    <x v="2"/>
    <x v="0"/>
    <x v="2"/>
    <n v="41"/>
    <x v="0"/>
    <x v="1"/>
  </r>
  <r>
    <n v="28068"/>
    <x v="1"/>
    <x v="0"/>
    <n v="80000"/>
    <n v="3"/>
    <x v="4"/>
    <x v="2"/>
    <x v="1"/>
    <x v="0"/>
    <x v="0"/>
    <x v="2"/>
    <n v="36"/>
    <x v="0"/>
    <x v="1"/>
  </r>
  <r>
    <n v="18390"/>
    <x v="0"/>
    <x v="1"/>
    <n v="80000"/>
    <n v="5"/>
    <x v="1"/>
    <x v="2"/>
    <x v="0"/>
    <x v="2"/>
    <x v="0"/>
    <x v="2"/>
    <n v="44"/>
    <x v="0"/>
    <x v="0"/>
  </r>
  <r>
    <n v="29112"/>
    <x v="1"/>
    <x v="1"/>
    <n v="60000"/>
    <n v="0"/>
    <x v="1"/>
    <x v="2"/>
    <x v="1"/>
    <x v="2"/>
    <x v="3"/>
    <x v="2"/>
    <n v="30"/>
    <x v="2"/>
    <x v="0"/>
  </r>
  <r>
    <n v="14090"/>
    <x v="0"/>
    <x v="0"/>
    <n v="30000"/>
    <n v="0"/>
    <x v="3"/>
    <x v="1"/>
    <x v="1"/>
    <x v="2"/>
    <x v="0"/>
    <x v="2"/>
    <n v="28"/>
    <x v="2"/>
    <x v="0"/>
  </r>
  <r>
    <n v="27040"/>
    <x v="0"/>
    <x v="1"/>
    <n v="20000"/>
    <n v="2"/>
    <x v="3"/>
    <x v="1"/>
    <x v="0"/>
    <x v="2"/>
    <x v="3"/>
    <x v="2"/>
    <n v="49"/>
    <x v="0"/>
    <x v="0"/>
  </r>
  <r>
    <n v="23479"/>
    <x v="1"/>
    <x v="1"/>
    <n v="90000"/>
    <n v="0"/>
    <x v="1"/>
    <x v="2"/>
    <x v="1"/>
    <x v="2"/>
    <x v="0"/>
    <x v="2"/>
    <n v="43"/>
    <x v="0"/>
    <x v="1"/>
  </r>
  <r>
    <n v="16795"/>
    <x v="0"/>
    <x v="0"/>
    <n v="70000"/>
    <n v="4"/>
    <x v="0"/>
    <x v="4"/>
    <x v="0"/>
    <x v="1"/>
    <x v="3"/>
    <x v="2"/>
    <n v="59"/>
    <x v="1"/>
    <x v="0"/>
  </r>
  <r>
    <n v="22014"/>
    <x v="1"/>
    <x v="1"/>
    <n v="30000"/>
    <n v="0"/>
    <x v="2"/>
    <x v="0"/>
    <x v="0"/>
    <x v="2"/>
    <x v="2"/>
    <x v="2"/>
    <n v="26"/>
    <x v="2"/>
    <x v="0"/>
  </r>
  <r>
    <n v="13314"/>
    <x v="0"/>
    <x v="1"/>
    <n v="120000"/>
    <n v="1"/>
    <x v="2"/>
    <x v="2"/>
    <x v="0"/>
    <x v="3"/>
    <x v="2"/>
    <x v="2"/>
    <n v="46"/>
    <x v="0"/>
    <x v="1"/>
  </r>
  <r>
    <n v="11619"/>
    <x v="1"/>
    <x v="0"/>
    <n v="50000"/>
    <n v="0"/>
    <x v="4"/>
    <x v="0"/>
    <x v="0"/>
    <x v="0"/>
    <x v="3"/>
    <x v="2"/>
    <n v="33"/>
    <x v="0"/>
    <x v="0"/>
  </r>
  <r>
    <n v="29132"/>
    <x v="1"/>
    <x v="0"/>
    <n v="40000"/>
    <n v="0"/>
    <x v="0"/>
    <x v="2"/>
    <x v="0"/>
    <x v="1"/>
    <x v="1"/>
    <x v="2"/>
    <n v="42"/>
    <x v="0"/>
    <x v="1"/>
  </r>
  <r>
    <n v="11199"/>
    <x v="0"/>
    <x v="0"/>
    <n v="70000"/>
    <n v="4"/>
    <x v="0"/>
    <x v="4"/>
    <x v="0"/>
    <x v="1"/>
    <x v="4"/>
    <x v="2"/>
    <n v="59"/>
    <x v="1"/>
    <x v="0"/>
  </r>
  <r>
    <n v="20296"/>
    <x v="1"/>
    <x v="0"/>
    <n v="60000"/>
    <n v="0"/>
    <x v="1"/>
    <x v="0"/>
    <x v="1"/>
    <x v="1"/>
    <x v="3"/>
    <x v="2"/>
    <n v="33"/>
    <x v="0"/>
    <x v="1"/>
  </r>
  <r>
    <n v="17546"/>
    <x v="0"/>
    <x v="0"/>
    <n v="70000"/>
    <n v="1"/>
    <x v="1"/>
    <x v="0"/>
    <x v="0"/>
    <x v="1"/>
    <x v="0"/>
    <x v="2"/>
    <n v="44"/>
    <x v="0"/>
    <x v="1"/>
  </r>
  <r>
    <n v="18069"/>
    <x v="0"/>
    <x v="1"/>
    <n v="70000"/>
    <n v="5"/>
    <x v="0"/>
    <x v="4"/>
    <x v="0"/>
    <x v="3"/>
    <x v="4"/>
    <x v="2"/>
    <n v="60"/>
    <x v="1"/>
    <x v="0"/>
  </r>
  <r>
    <n v="23712"/>
    <x v="1"/>
    <x v="0"/>
    <n v="70000"/>
    <n v="2"/>
    <x v="0"/>
    <x v="4"/>
    <x v="0"/>
    <x v="1"/>
    <x v="4"/>
    <x v="2"/>
    <n v="59"/>
    <x v="1"/>
    <x v="0"/>
  </r>
  <r>
    <n v="23358"/>
    <x v="0"/>
    <x v="1"/>
    <n v="60000"/>
    <n v="0"/>
    <x v="2"/>
    <x v="2"/>
    <x v="0"/>
    <x v="2"/>
    <x v="2"/>
    <x v="2"/>
    <n v="32"/>
    <x v="0"/>
    <x v="1"/>
  </r>
  <r>
    <n v="20518"/>
    <x v="0"/>
    <x v="0"/>
    <n v="70000"/>
    <n v="2"/>
    <x v="1"/>
    <x v="2"/>
    <x v="0"/>
    <x v="1"/>
    <x v="4"/>
    <x v="2"/>
    <n v="58"/>
    <x v="1"/>
    <x v="0"/>
  </r>
  <r>
    <n v="28026"/>
    <x v="0"/>
    <x v="0"/>
    <n v="40000"/>
    <n v="2"/>
    <x v="2"/>
    <x v="2"/>
    <x v="1"/>
    <x v="2"/>
    <x v="1"/>
    <x v="2"/>
    <n v="59"/>
    <x v="1"/>
    <x v="0"/>
  </r>
  <r>
    <n v="11669"/>
    <x v="1"/>
    <x v="0"/>
    <n v="70000"/>
    <n v="2"/>
    <x v="0"/>
    <x v="0"/>
    <x v="0"/>
    <x v="1"/>
    <x v="1"/>
    <x v="2"/>
    <n v="38"/>
    <x v="0"/>
    <x v="0"/>
  </r>
  <r>
    <n v="16020"/>
    <x v="0"/>
    <x v="1"/>
    <n v="40000"/>
    <n v="0"/>
    <x v="2"/>
    <x v="0"/>
    <x v="0"/>
    <x v="2"/>
    <x v="2"/>
    <x v="2"/>
    <n v="28"/>
    <x v="2"/>
    <x v="1"/>
  </r>
  <r>
    <n v="27090"/>
    <x v="0"/>
    <x v="0"/>
    <n v="60000"/>
    <n v="1"/>
    <x v="4"/>
    <x v="2"/>
    <x v="0"/>
    <x v="0"/>
    <x v="1"/>
    <x v="2"/>
    <n v="37"/>
    <x v="0"/>
    <x v="1"/>
  </r>
  <r>
    <n v="27198"/>
    <x v="1"/>
    <x v="0"/>
    <n v="80000"/>
    <n v="0"/>
    <x v="4"/>
    <x v="0"/>
    <x v="1"/>
    <x v="0"/>
    <x v="0"/>
    <x v="2"/>
    <n v="40"/>
    <x v="0"/>
    <x v="0"/>
  </r>
  <r>
    <n v="19661"/>
    <x v="1"/>
    <x v="1"/>
    <n v="90000"/>
    <n v="4"/>
    <x v="0"/>
    <x v="4"/>
    <x v="0"/>
    <x v="1"/>
    <x v="3"/>
    <x v="2"/>
    <n v="38"/>
    <x v="0"/>
    <x v="1"/>
  </r>
  <r>
    <n v="26327"/>
    <x v="0"/>
    <x v="1"/>
    <n v="70000"/>
    <n v="4"/>
    <x v="4"/>
    <x v="2"/>
    <x v="0"/>
    <x v="0"/>
    <x v="1"/>
    <x v="2"/>
    <n v="36"/>
    <x v="0"/>
    <x v="1"/>
  </r>
  <r>
    <n v="26341"/>
    <x v="0"/>
    <x v="0"/>
    <n v="70000"/>
    <n v="5"/>
    <x v="4"/>
    <x v="2"/>
    <x v="0"/>
    <x v="2"/>
    <x v="0"/>
    <x v="2"/>
    <n v="37"/>
    <x v="0"/>
    <x v="0"/>
  </r>
  <r>
    <n v="24958"/>
    <x v="1"/>
    <x v="0"/>
    <n v="40000"/>
    <n v="5"/>
    <x v="2"/>
    <x v="2"/>
    <x v="1"/>
    <x v="4"/>
    <x v="1"/>
    <x v="2"/>
    <n v="60"/>
    <x v="1"/>
    <x v="1"/>
  </r>
  <r>
    <n v="13287"/>
    <x v="1"/>
    <x v="1"/>
    <n v="110000"/>
    <n v="4"/>
    <x v="0"/>
    <x v="4"/>
    <x v="0"/>
    <x v="3"/>
    <x v="2"/>
    <x v="2"/>
    <n v="42"/>
    <x v="0"/>
    <x v="1"/>
  </r>
  <r>
    <n v="14493"/>
    <x v="1"/>
    <x v="0"/>
    <n v="70000"/>
    <n v="3"/>
    <x v="4"/>
    <x v="4"/>
    <x v="1"/>
    <x v="2"/>
    <x v="3"/>
    <x v="2"/>
    <n v="53"/>
    <x v="0"/>
    <x v="0"/>
  </r>
  <r>
    <n v="26678"/>
    <x v="1"/>
    <x v="0"/>
    <n v="80000"/>
    <n v="2"/>
    <x v="3"/>
    <x v="0"/>
    <x v="0"/>
    <x v="2"/>
    <x v="2"/>
    <x v="2"/>
    <n v="49"/>
    <x v="0"/>
    <x v="0"/>
  </r>
  <r>
    <n v="23275"/>
    <x v="0"/>
    <x v="1"/>
    <n v="30000"/>
    <n v="2"/>
    <x v="2"/>
    <x v="0"/>
    <x v="0"/>
    <x v="2"/>
    <x v="3"/>
    <x v="2"/>
    <n v="49"/>
    <x v="0"/>
    <x v="0"/>
  </r>
  <r>
    <n v="11270"/>
    <x v="0"/>
    <x v="1"/>
    <n v="130000"/>
    <n v="2"/>
    <x v="4"/>
    <x v="4"/>
    <x v="0"/>
    <x v="4"/>
    <x v="0"/>
    <x v="2"/>
    <n v="42"/>
    <x v="0"/>
    <x v="1"/>
  </r>
  <r>
    <n v="20084"/>
    <x v="0"/>
    <x v="1"/>
    <n v="20000"/>
    <n v="2"/>
    <x v="2"/>
    <x v="3"/>
    <x v="1"/>
    <x v="2"/>
    <x v="0"/>
    <x v="2"/>
    <n v="53"/>
    <x v="0"/>
    <x v="0"/>
  </r>
  <r>
    <n v="16144"/>
    <x v="0"/>
    <x v="1"/>
    <n v="70000"/>
    <n v="1"/>
    <x v="4"/>
    <x v="2"/>
    <x v="0"/>
    <x v="1"/>
    <x v="0"/>
    <x v="2"/>
    <n v="46"/>
    <x v="0"/>
    <x v="1"/>
  </r>
  <r>
    <n v="27731"/>
    <x v="0"/>
    <x v="1"/>
    <n v="40000"/>
    <n v="0"/>
    <x v="2"/>
    <x v="0"/>
    <x v="0"/>
    <x v="2"/>
    <x v="2"/>
    <x v="2"/>
    <n v="27"/>
    <x v="2"/>
    <x v="0"/>
  </r>
  <r>
    <n v="11886"/>
    <x v="0"/>
    <x v="0"/>
    <n v="60000"/>
    <n v="3"/>
    <x v="0"/>
    <x v="2"/>
    <x v="0"/>
    <x v="1"/>
    <x v="0"/>
    <x v="2"/>
    <n v="48"/>
    <x v="0"/>
    <x v="1"/>
  </r>
  <r>
    <n v="24324"/>
    <x v="1"/>
    <x v="0"/>
    <n v="60000"/>
    <n v="4"/>
    <x v="0"/>
    <x v="0"/>
    <x v="0"/>
    <x v="2"/>
    <x v="1"/>
    <x v="2"/>
    <n v="41"/>
    <x v="0"/>
    <x v="1"/>
  </r>
  <r>
    <n v="22220"/>
    <x v="0"/>
    <x v="1"/>
    <n v="60000"/>
    <n v="2"/>
    <x v="2"/>
    <x v="2"/>
    <x v="1"/>
    <x v="2"/>
    <x v="3"/>
    <x v="2"/>
    <n v="49"/>
    <x v="0"/>
    <x v="1"/>
  </r>
  <r>
    <n v="26625"/>
    <x v="1"/>
    <x v="0"/>
    <n v="60000"/>
    <n v="0"/>
    <x v="4"/>
    <x v="2"/>
    <x v="0"/>
    <x v="1"/>
    <x v="1"/>
    <x v="2"/>
    <n v="38"/>
    <x v="0"/>
    <x v="1"/>
  </r>
  <r>
    <n v="23027"/>
    <x v="1"/>
    <x v="1"/>
    <n v="130000"/>
    <n v="1"/>
    <x v="0"/>
    <x v="4"/>
    <x v="1"/>
    <x v="3"/>
    <x v="0"/>
    <x v="2"/>
    <n v="44"/>
    <x v="0"/>
    <x v="0"/>
  </r>
  <r>
    <n v="16867"/>
    <x v="1"/>
    <x v="0"/>
    <n v="130000"/>
    <n v="1"/>
    <x v="0"/>
    <x v="4"/>
    <x v="1"/>
    <x v="4"/>
    <x v="0"/>
    <x v="2"/>
    <n v="45"/>
    <x v="0"/>
    <x v="1"/>
  </r>
  <r>
    <n v="14514"/>
    <x v="1"/>
    <x v="0"/>
    <n v="30000"/>
    <n v="0"/>
    <x v="1"/>
    <x v="0"/>
    <x v="0"/>
    <x v="1"/>
    <x v="2"/>
    <x v="2"/>
    <n v="26"/>
    <x v="2"/>
    <x v="0"/>
  </r>
  <r>
    <n v="19634"/>
    <x v="0"/>
    <x v="1"/>
    <n v="40000"/>
    <n v="0"/>
    <x v="2"/>
    <x v="0"/>
    <x v="0"/>
    <x v="1"/>
    <x v="2"/>
    <x v="2"/>
    <n v="31"/>
    <x v="0"/>
    <x v="0"/>
  </r>
  <r>
    <n v="18504"/>
    <x v="0"/>
    <x v="1"/>
    <n v="70000"/>
    <n v="2"/>
    <x v="3"/>
    <x v="0"/>
    <x v="1"/>
    <x v="2"/>
    <x v="3"/>
    <x v="2"/>
    <n v="49"/>
    <x v="0"/>
    <x v="0"/>
  </r>
  <r>
    <n v="28799"/>
    <x v="1"/>
    <x v="0"/>
    <n v="40000"/>
    <n v="2"/>
    <x v="1"/>
    <x v="1"/>
    <x v="1"/>
    <x v="1"/>
    <x v="3"/>
    <x v="2"/>
    <n v="47"/>
    <x v="0"/>
    <x v="1"/>
  </r>
  <r>
    <n v="11225"/>
    <x v="0"/>
    <x v="0"/>
    <n v="60000"/>
    <n v="2"/>
    <x v="1"/>
    <x v="2"/>
    <x v="0"/>
    <x v="1"/>
    <x v="4"/>
    <x v="2"/>
    <n v="55"/>
    <x v="1"/>
    <x v="0"/>
  </r>
  <r>
    <n v="17657"/>
    <x v="0"/>
    <x v="1"/>
    <n v="40000"/>
    <n v="4"/>
    <x v="1"/>
    <x v="1"/>
    <x v="1"/>
    <x v="0"/>
    <x v="0"/>
    <x v="2"/>
    <n v="30"/>
    <x v="2"/>
    <x v="0"/>
  </r>
  <r>
    <n v="14913"/>
    <x v="0"/>
    <x v="0"/>
    <n v="40000"/>
    <n v="1"/>
    <x v="1"/>
    <x v="1"/>
    <x v="0"/>
    <x v="1"/>
    <x v="3"/>
    <x v="2"/>
    <n v="48"/>
    <x v="0"/>
    <x v="1"/>
  </r>
  <r>
    <n v="14077"/>
    <x v="1"/>
    <x v="1"/>
    <n v="30000"/>
    <n v="0"/>
    <x v="2"/>
    <x v="0"/>
    <x v="0"/>
    <x v="2"/>
    <x v="2"/>
    <x v="2"/>
    <n v="30"/>
    <x v="2"/>
    <x v="0"/>
  </r>
  <r>
    <n v="13296"/>
    <x v="0"/>
    <x v="1"/>
    <n v="110000"/>
    <n v="1"/>
    <x v="0"/>
    <x v="4"/>
    <x v="0"/>
    <x v="4"/>
    <x v="2"/>
    <x v="2"/>
    <n v="45"/>
    <x v="0"/>
    <x v="0"/>
  </r>
  <r>
    <n v="20535"/>
    <x v="0"/>
    <x v="0"/>
    <n v="70000"/>
    <n v="4"/>
    <x v="1"/>
    <x v="2"/>
    <x v="0"/>
    <x v="1"/>
    <x v="4"/>
    <x v="2"/>
    <n v="56"/>
    <x v="1"/>
    <x v="0"/>
  </r>
  <r>
    <n v="12452"/>
    <x v="0"/>
    <x v="1"/>
    <n v="60000"/>
    <n v="4"/>
    <x v="4"/>
    <x v="0"/>
    <x v="0"/>
    <x v="0"/>
    <x v="3"/>
    <x v="2"/>
    <n v="47"/>
    <x v="0"/>
    <x v="1"/>
  </r>
  <r>
    <n v="28043"/>
    <x v="0"/>
    <x v="0"/>
    <n v="60000"/>
    <n v="2"/>
    <x v="0"/>
    <x v="4"/>
    <x v="0"/>
    <x v="0"/>
    <x v="4"/>
    <x v="2"/>
    <n v="56"/>
    <x v="1"/>
    <x v="0"/>
  </r>
  <r>
    <n v="12957"/>
    <x v="1"/>
    <x v="0"/>
    <n v="70000"/>
    <n v="1"/>
    <x v="0"/>
    <x v="2"/>
    <x v="1"/>
    <x v="1"/>
    <x v="0"/>
    <x v="2"/>
    <n v="44"/>
    <x v="0"/>
    <x v="0"/>
  </r>
  <r>
    <n v="15412"/>
    <x v="0"/>
    <x v="1"/>
    <n v="130000"/>
    <n v="2"/>
    <x v="4"/>
    <x v="4"/>
    <x v="0"/>
    <x v="4"/>
    <x v="1"/>
    <x v="2"/>
    <n v="69"/>
    <x v="1"/>
    <x v="0"/>
  </r>
  <r>
    <n v="20514"/>
    <x v="0"/>
    <x v="0"/>
    <n v="70000"/>
    <n v="2"/>
    <x v="1"/>
    <x v="2"/>
    <x v="0"/>
    <x v="1"/>
    <x v="1"/>
    <x v="2"/>
    <n v="59"/>
    <x v="1"/>
    <x v="0"/>
  </r>
  <r>
    <n v="20758"/>
    <x v="0"/>
    <x v="1"/>
    <n v="30000"/>
    <n v="2"/>
    <x v="2"/>
    <x v="0"/>
    <x v="0"/>
    <x v="2"/>
    <x v="3"/>
    <x v="2"/>
    <n v="50"/>
    <x v="0"/>
    <x v="0"/>
  </r>
  <r>
    <n v="11801"/>
    <x v="0"/>
    <x v="1"/>
    <n v="60000"/>
    <n v="1"/>
    <x v="4"/>
    <x v="2"/>
    <x v="0"/>
    <x v="0"/>
    <x v="1"/>
    <x v="2"/>
    <n v="36"/>
    <x v="0"/>
    <x v="0"/>
  </r>
  <r>
    <n v="22211"/>
    <x v="0"/>
    <x v="1"/>
    <n v="60000"/>
    <n v="0"/>
    <x v="1"/>
    <x v="2"/>
    <x v="0"/>
    <x v="2"/>
    <x v="2"/>
    <x v="2"/>
    <n v="32"/>
    <x v="0"/>
    <x v="0"/>
  </r>
  <r>
    <n v="28087"/>
    <x v="1"/>
    <x v="0"/>
    <n v="40000"/>
    <n v="0"/>
    <x v="1"/>
    <x v="0"/>
    <x v="1"/>
    <x v="1"/>
    <x v="3"/>
    <x v="2"/>
    <n v="27"/>
    <x v="2"/>
    <x v="0"/>
  </r>
  <r>
    <n v="23668"/>
    <x v="0"/>
    <x v="0"/>
    <n v="40000"/>
    <n v="4"/>
    <x v="2"/>
    <x v="2"/>
    <x v="0"/>
    <x v="2"/>
    <x v="2"/>
    <x v="2"/>
    <n v="59"/>
    <x v="1"/>
    <x v="1"/>
  </r>
  <r>
    <n v="27441"/>
    <x v="0"/>
    <x v="1"/>
    <n v="60000"/>
    <n v="3"/>
    <x v="2"/>
    <x v="2"/>
    <x v="1"/>
    <x v="2"/>
    <x v="1"/>
    <x v="2"/>
    <n v="53"/>
    <x v="0"/>
    <x v="0"/>
  </r>
  <r>
    <n v="27261"/>
    <x v="0"/>
    <x v="1"/>
    <n v="40000"/>
    <n v="1"/>
    <x v="0"/>
    <x v="0"/>
    <x v="1"/>
    <x v="1"/>
    <x v="0"/>
    <x v="2"/>
    <n v="36"/>
    <x v="0"/>
    <x v="1"/>
  </r>
  <r>
    <n v="18649"/>
    <x v="1"/>
    <x v="1"/>
    <n v="30000"/>
    <n v="1"/>
    <x v="2"/>
    <x v="1"/>
    <x v="0"/>
    <x v="2"/>
    <x v="3"/>
    <x v="2"/>
    <n v="51"/>
    <x v="0"/>
    <x v="1"/>
  </r>
  <r>
    <n v="21714"/>
    <x v="1"/>
    <x v="0"/>
    <n v="80000"/>
    <n v="5"/>
    <x v="4"/>
    <x v="0"/>
    <x v="1"/>
    <x v="0"/>
    <x v="0"/>
    <x v="2"/>
    <n v="47"/>
    <x v="0"/>
    <x v="0"/>
  </r>
  <r>
    <n v="23217"/>
    <x v="1"/>
    <x v="0"/>
    <n v="60000"/>
    <n v="3"/>
    <x v="4"/>
    <x v="2"/>
    <x v="0"/>
    <x v="0"/>
    <x v="1"/>
    <x v="2"/>
    <n v="43"/>
    <x v="0"/>
    <x v="1"/>
  </r>
  <r>
    <n v="23797"/>
    <x v="1"/>
    <x v="1"/>
    <n v="20000"/>
    <n v="3"/>
    <x v="3"/>
    <x v="1"/>
    <x v="1"/>
    <x v="2"/>
    <x v="0"/>
    <x v="2"/>
    <n v="50"/>
    <x v="0"/>
    <x v="0"/>
  </r>
  <r>
    <n v="13216"/>
    <x v="0"/>
    <x v="0"/>
    <n v="60000"/>
    <n v="5"/>
    <x v="0"/>
    <x v="4"/>
    <x v="0"/>
    <x v="4"/>
    <x v="4"/>
    <x v="2"/>
    <n v="59"/>
    <x v="1"/>
    <x v="0"/>
  </r>
  <r>
    <n v="20657"/>
    <x v="1"/>
    <x v="1"/>
    <n v="50000"/>
    <n v="2"/>
    <x v="0"/>
    <x v="0"/>
    <x v="0"/>
    <x v="0"/>
    <x v="1"/>
    <x v="2"/>
    <n v="37"/>
    <x v="0"/>
    <x v="1"/>
  </r>
  <r>
    <n v="12882"/>
    <x v="0"/>
    <x v="1"/>
    <n v="50000"/>
    <n v="1"/>
    <x v="4"/>
    <x v="0"/>
    <x v="0"/>
    <x v="0"/>
    <x v="0"/>
    <x v="2"/>
    <n v="33"/>
    <x v="0"/>
    <x v="1"/>
  </r>
  <r>
    <n v="25908"/>
    <x v="0"/>
    <x v="0"/>
    <n v="60000"/>
    <n v="0"/>
    <x v="1"/>
    <x v="0"/>
    <x v="1"/>
    <x v="1"/>
    <x v="3"/>
    <x v="2"/>
    <n v="27"/>
    <x v="2"/>
    <x v="0"/>
  </r>
  <r>
    <n v="16753"/>
    <x v="1"/>
    <x v="0"/>
    <n v="70000"/>
    <n v="0"/>
    <x v="1"/>
    <x v="0"/>
    <x v="0"/>
    <x v="2"/>
    <x v="2"/>
    <x v="2"/>
    <n v="34"/>
    <x v="0"/>
    <x v="1"/>
  </r>
  <r>
    <n v="14608"/>
    <x v="0"/>
    <x v="1"/>
    <n v="50000"/>
    <n v="4"/>
    <x v="0"/>
    <x v="0"/>
    <x v="0"/>
    <x v="4"/>
    <x v="4"/>
    <x v="2"/>
    <n v="42"/>
    <x v="0"/>
    <x v="0"/>
  </r>
  <r>
    <n v="24979"/>
    <x v="0"/>
    <x v="0"/>
    <n v="60000"/>
    <n v="2"/>
    <x v="1"/>
    <x v="2"/>
    <x v="0"/>
    <x v="2"/>
    <x v="1"/>
    <x v="2"/>
    <n v="57"/>
    <x v="1"/>
    <x v="1"/>
  </r>
  <r>
    <n v="13313"/>
    <x v="0"/>
    <x v="0"/>
    <n v="120000"/>
    <n v="1"/>
    <x v="2"/>
    <x v="2"/>
    <x v="1"/>
    <x v="3"/>
    <x v="1"/>
    <x v="2"/>
    <n v="45"/>
    <x v="0"/>
    <x v="0"/>
  </r>
  <r>
    <n v="18952"/>
    <x v="0"/>
    <x v="0"/>
    <n v="100000"/>
    <n v="4"/>
    <x v="0"/>
    <x v="4"/>
    <x v="0"/>
    <x v="3"/>
    <x v="0"/>
    <x v="2"/>
    <n v="40"/>
    <x v="0"/>
    <x v="0"/>
  </r>
  <r>
    <n v="17699"/>
    <x v="0"/>
    <x v="1"/>
    <n v="60000"/>
    <n v="1"/>
    <x v="4"/>
    <x v="0"/>
    <x v="1"/>
    <x v="0"/>
    <x v="0"/>
    <x v="2"/>
    <n v="55"/>
    <x v="1"/>
    <x v="0"/>
  </r>
  <r>
    <n v="14657"/>
    <x v="0"/>
    <x v="1"/>
    <n v="80000"/>
    <n v="1"/>
    <x v="1"/>
    <x v="0"/>
    <x v="1"/>
    <x v="1"/>
    <x v="0"/>
    <x v="2"/>
    <n v="47"/>
    <x v="0"/>
    <x v="1"/>
  </r>
  <r>
    <n v="11540"/>
    <x v="1"/>
    <x v="1"/>
    <n v="60000"/>
    <n v="4"/>
    <x v="4"/>
    <x v="0"/>
    <x v="0"/>
    <x v="0"/>
    <x v="3"/>
    <x v="2"/>
    <n v="47"/>
    <x v="0"/>
    <x v="1"/>
  </r>
  <r>
    <n v="11783"/>
    <x v="0"/>
    <x v="0"/>
    <n v="60000"/>
    <n v="1"/>
    <x v="4"/>
    <x v="0"/>
    <x v="0"/>
    <x v="0"/>
    <x v="0"/>
    <x v="2"/>
    <n v="34"/>
    <x v="0"/>
    <x v="0"/>
  </r>
  <r>
    <n v="14602"/>
    <x v="0"/>
    <x v="0"/>
    <n v="80000"/>
    <n v="3"/>
    <x v="4"/>
    <x v="2"/>
    <x v="0"/>
    <x v="0"/>
    <x v="0"/>
    <x v="2"/>
    <n v="36"/>
    <x v="0"/>
    <x v="1"/>
  </r>
  <r>
    <n v="29030"/>
    <x v="0"/>
    <x v="1"/>
    <n v="70000"/>
    <n v="2"/>
    <x v="3"/>
    <x v="0"/>
    <x v="0"/>
    <x v="2"/>
    <x v="4"/>
    <x v="2"/>
    <n v="54"/>
    <x v="0"/>
    <x v="0"/>
  </r>
  <r>
    <n v="26490"/>
    <x v="1"/>
    <x v="1"/>
    <n v="70000"/>
    <n v="2"/>
    <x v="0"/>
    <x v="4"/>
    <x v="1"/>
    <x v="1"/>
    <x v="1"/>
    <x v="2"/>
    <n v="59"/>
    <x v="1"/>
    <x v="1"/>
  </r>
  <r>
    <n v="13151"/>
    <x v="1"/>
    <x v="1"/>
    <n v="40000"/>
    <n v="0"/>
    <x v="2"/>
    <x v="0"/>
    <x v="0"/>
    <x v="2"/>
    <x v="2"/>
    <x v="2"/>
    <n v="27"/>
    <x v="2"/>
    <x v="0"/>
  </r>
  <r>
    <n v="17260"/>
    <x v="0"/>
    <x v="1"/>
    <n v="90000"/>
    <n v="5"/>
    <x v="1"/>
    <x v="2"/>
    <x v="0"/>
    <x v="4"/>
    <x v="0"/>
    <x v="2"/>
    <n v="41"/>
    <x v="0"/>
    <x v="0"/>
  </r>
  <r>
    <n v="15372"/>
    <x v="0"/>
    <x v="1"/>
    <n v="80000"/>
    <n v="3"/>
    <x v="1"/>
    <x v="2"/>
    <x v="1"/>
    <x v="2"/>
    <x v="1"/>
    <x v="2"/>
    <n v="50"/>
    <x v="0"/>
    <x v="1"/>
  </r>
  <r>
    <n v="18105"/>
    <x v="0"/>
    <x v="0"/>
    <n v="60000"/>
    <n v="2"/>
    <x v="1"/>
    <x v="2"/>
    <x v="0"/>
    <x v="1"/>
    <x v="4"/>
    <x v="2"/>
    <n v="55"/>
    <x v="1"/>
    <x v="0"/>
  </r>
  <r>
    <n v="19660"/>
    <x v="0"/>
    <x v="1"/>
    <n v="80000"/>
    <n v="4"/>
    <x v="0"/>
    <x v="4"/>
    <x v="0"/>
    <x v="0"/>
    <x v="0"/>
    <x v="2"/>
    <n v="43"/>
    <x v="0"/>
    <x v="0"/>
  </r>
  <r>
    <n v="16112"/>
    <x v="1"/>
    <x v="1"/>
    <n v="70000"/>
    <n v="4"/>
    <x v="0"/>
    <x v="2"/>
    <x v="0"/>
    <x v="2"/>
    <x v="1"/>
    <x v="2"/>
    <n v="43"/>
    <x v="0"/>
    <x v="1"/>
  </r>
  <r>
    <n v="20698"/>
    <x v="0"/>
    <x v="1"/>
    <n v="60000"/>
    <n v="4"/>
    <x v="0"/>
    <x v="0"/>
    <x v="0"/>
    <x v="4"/>
    <x v="2"/>
    <x v="2"/>
    <n v="42"/>
    <x v="0"/>
    <x v="0"/>
  </r>
  <r>
    <n v="20076"/>
    <x v="1"/>
    <x v="0"/>
    <n v="10000"/>
    <n v="2"/>
    <x v="2"/>
    <x v="3"/>
    <x v="0"/>
    <x v="2"/>
    <x v="3"/>
    <x v="2"/>
    <n v="53"/>
    <x v="0"/>
    <x v="1"/>
  </r>
  <r>
    <n v="24496"/>
    <x v="1"/>
    <x v="0"/>
    <n v="40000"/>
    <n v="0"/>
    <x v="2"/>
    <x v="0"/>
    <x v="1"/>
    <x v="2"/>
    <x v="0"/>
    <x v="2"/>
    <n v="28"/>
    <x v="2"/>
    <x v="1"/>
  </r>
  <r>
    <n v="15468"/>
    <x v="0"/>
    <x v="0"/>
    <n v="50000"/>
    <n v="1"/>
    <x v="0"/>
    <x v="0"/>
    <x v="0"/>
    <x v="1"/>
    <x v="0"/>
    <x v="2"/>
    <n v="35"/>
    <x v="0"/>
    <x v="0"/>
  </r>
  <r>
    <n v="28031"/>
    <x v="1"/>
    <x v="0"/>
    <n v="70000"/>
    <n v="2"/>
    <x v="0"/>
    <x v="4"/>
    <x v="1"/>
    <x v="1"/>
    <x v="1"/>
    <x v="2"/>
    <n v="59"/>
    <x v="1"/>
    <x v="1"/>
  </r>
  <r>
    <n v="26270"/>
    <x v="1"/>
    <x v="0"/>
    <n v="20000"/>
    <n v="2"/>
    <x v="3"/>
    <x v="1"/>
    <x v="0"/>
    <x v="2"/>
    <x v="3"/>
    <x v="2"/>
    <n v="49"/>
    <x v="0"/>
    <x v="0"/>
  </r>
  <r>
    <n v="22221"/>
    <x v="0"/>
    <x v="1"/>
    <n v="60000"/>
    <n v="2"/>
    <x v="2"/>
    <x v="2"/>
    <x v="1"/>
    <x v="2"/>
    <x v="3"/>
    <x v="2"/>
    <n v="48"/>
    <x v="0"/>
    <x v="1"/>
  </r>
  <r>
    <n v="28228"/>
    <x v="1"/>
    <x v="0"/>
    <n v="80000"/>
    <n v="2"/>
    <x v="3"/>
    <x v="0"/>
    <x v="1"/>
    <x v="2"/>
    <x v="3"/>
    <x v="2"/>
    <n v="50"/>
    <x v="0"/>
    <x v="0"/>
  </r>
  <r>
    <n v="18363"/>
    <x v="0"/>
    <x v="1"/>
    <n v="40000"/>
    <n v="0"/>
    <x v="2"/>
    <x v="0"/>
    <x v="0"/>
    <x v="2"/>
    <x v="2"/>
    <x v="2"/>
    <n v="28"/>
    <x v="2"/>
    <x v="1"/>
  </r>
  <r>
    <n v="23256"/>
    <x v="1"/>
    <x v="1"/>
    <n v="30000"/>
    <n v="1"/>
    <x v="2"/>
    <x v="1"/>
    <x v="1"/>
    <x v="1"/>
    <x v="2"/>
    <x v="2"/>
    <n v="52"/>
    <x v="0"/>
    <x v="0"/>
  </r>
  <r>
    <n v="12768"/>
    <x v="0"/>
    <x v="1"/>
    <n v="30000"/>
    <n v="1"/>
    <x v="2"/>
    <x v="1"/>
    <x v="0"/>
    <x v="1"/>
    <x v="1"/>
    <x v="2"/>
    <n v="52"/>
    <x v="0"/>
    <x v="1"/>
  </r>
  <r>
    <n v="20361"/>
    <x v="0"/>
    <x v="1"/>
    <n v="50000"/>
    <n v="2"/>
    <x v="4"/>
    <x v="4"/>
    <x v="0"/>
    <x v="2"/>
    <x v="2"/>
    <x v="2"/>
    <n v="69"/>
    <x v="1"/>
    <x v="0"/>
  </r>
  <r>
    <n v="21306"/>
    <x v="1"/>
    <x v="1"/>
    <n v="60000"/>
    <n v="2"/>
    <x v="2"/>
    <x v="2"/>
    <x v="0"/>
    <x v="2"/>
    <x v="2"/>
    <x v="2"/>
    <n v="51"/>
    <x v="0"/>
    <x v="0"/>
  </r>
  <r>
    <n v="13382"/>
    <x v="0"/>
    <x v="1"/>
    <n v="70000"/>
    <n v="5"/>
    <x v="1"/>
    <x v="2"/>
    <x v="0"/>
    <x v="2"/>
    <x v="3"/>
    <x v="2"/>
    <n v="57"/>
    <x v="1"/>
    <x v="1"/>
  </r>
  <r>
    <n v="20310"/>
    <x v="1"/>
    <x v="1"/>
    <n v="60000"/>
    <n v="0"/>
    <x v="1"/>
    <x v="0"/>
    <x v="0"/>
    <x v="1"/>
    <x v="2"/>
    <x v="2"/>
    <n v="27"/>
    <x v="2"/>
    <x v="1"/>
  </r>
  <r>
    <n v="22971"/>
    <x v="1"/>
    <x v="0"/>
    <n v="30000"/>
    <n v="0"/>
    <x v="2"/>
    <x v="0"/>
    <x v="1"/>
    <x v="2"/>
    <x v="0"/>
    <x v="2"/>
    <n v="25"/>
    <x v="2"/>
    <x v="1"/>
  </r>
  <r>
    <n v="15287"/>
    <x v="1"/>
    <x v="0"/>
    <n v="50000"/>
    <n v="1"/>
    <x v="4"/>
    <x v="0"/>
    <x v="0"/>
    <x v="0"/>
    <x v="3"/>
    <x v="2"/>
    <n v="33"/>
    <x v="0"/>
    <x v="1"/>
  </r>
  <r>
    <n v="15532"/>
    <x v="1"/>
    <x v="1"/>
    <n v="60000"/>
    <n v="4"/>
    <x v="0"/>
    <x v="2"/>
    <x v="0"/>
    <x v="2"/>
    <x v="1"/>
    <x v="2"/>
    <n v="43"/>
    <x v="0"/>
    <x v="1"/>
  </r>
  <r>
    <n v="11255"/>
    <x v="0"/>
    <x v="1"/>
    <n v="70000"/>
    <n v="4"/>
    <x v="4"/>
    <x v="4"/>
    <x v="0"/>
    <x v="2"/>
    <x v="2"/>
    <x v="2"/>
    <n v="73"/>
    <x v="1"/>
    <x v="0"/>
  </r>
  <r>
    <n v="28090"/>
    <x v="0"/>
    <x v="1"/>
    <n v="40000"/>
    <n v="0"/>
    <x v="1"/>
    <x v="0"/>
    <x v="0"/>
    <x v="1"/>
    <x v="2"/>
    <x v="2"/>
    <n v="27"/>
    <x v="2"/>
    <x v="0"/>
  </r>
  <r>
    <n v="15255"/>
    <x v="0"/>
    <x v="1"/>
    <n v="40000"/>
    <n v="0"/>
    <x v="2"/>
    <x v="0"/>
    <x v="0"/>
    <x v="2"/>
    <x v="2"/>
    <x v="2"/>
    <n v="28"/>
    <x v="2"/>
    <x v="1"/>
  </r>
  <r>
    <n v="13154"/>
    <x v="0"/>
    <x v="1"/>
    <n v="40000"/>
    <n v="0"/>
    <x v="2"/>
    <x v="0"/>
    <x v="1"/>
    <x v="2"/>
    <x v="0"/>
    <x v="2"/>
    <n v="27"/>
    <x v="2"/>
    <x v="1"/>
  </r>
  <r>
    <n v="26778"/>
    <x v="1"/>
    <x v="0"/>
    <n v="40000"/>
    <n v="0"/>
    <x v="2"/>
    <x v="0"/>
    <x v="0"/>
    <x v="2"/>
    <x v="2"/>
    <x v="2"/>
    <n v="31"/>
    <x v="0"/>
    <x v="0"/>
  </r>
  <r>
    <n v="23248"/>
    <x v="0"/>
    <x v="0"/>
    <n v="10000"/>
    <n v="2"/>
    <x v="2"/>
    <x v="3"/>
    <x v="0"/>
    <x v="2"/>
    <x v="3"/>
    <x v="2"/>
    <n v="53"/>
    <x v="0"/>
    <x v="0"/>
  </r>
  <r>
    <n v="21417"/>
    <x v="1"/>
    <x v="0"/>
    <n v="60000"/>
    <n v="0"/>
    <x v="1"/>
    <x v="2"/>
    <x v="1"/>
    <x v="2"/>
    <x v="3"/>
    <x v="2"/>
    <n v="32"/>
    <x v="0"/>
    <x v="1"/>
  </r>
  <r>
    <n v="17668"/>
    <x v="1"/>
    <x v="1"/>
    <n v="30000"/>
    <n v="2"/>
    <x v="2"/>
    <x v="0"/>
    <x v="0"/>
    <x v="2"/>
    <x v="3"/>
    <x v="2"/>
    <n v="50"/>
    <x v="0"/>
    <x v="1"/>
  </r>
  <r>
    <n v="27994"/>
    <x v="0"/>
    <x v="0"/>
    <n v="40000"/>
    <n v="4"/>
    <x v="2"/>
    <x v="2"/>
    <x v="0"/>
    <x v="2"/>
    <x v="2"/>
    <x v="2"/>
    <n v="69"/>
    <x v="1"/>
    <x v="0"/>
  </r>
  <r>
    <n v="20376"/>
    <x v="1"/>
    <x v="0"/>
    <n v="70000"/>
    <n v="3"/>
    <x v="4"/>
    <x v="4"/>
    <x v="0"/>
    <x v="2"/>
    <x v="2"/>
    <x v="2"/>
    <n v="52"/>
    <x v="0"/>
    <x v="1"/>
  </r>
  <r>
    <n v="25954"/>
    <x v="0"/>
    <x v="1"/>
    <n v="60000"/>
    <n v="0"/>
    <x v="1"/>
    <x v="0"/>
    <x v="1"/>
    <x v="2"/>
    <x v="3"/>
    <x v="2"/>
    <n v="31"/>
    <x v="0"/>
    <x v="0"/>
  </r>
  <r>
    <n v="15749"/>
    <x v="1"/>
    <x v="0"/>
    <n v="70000"/>
    <n v="4"/>
    <x v="0"/>
    <x v="4"/>
    <x v="0"/>
    <x v="2"/>
    <x v="4"/>
    <x v="2"/>
    <n v="61"/>
    <x v="1"/>
    <x v="0"/>
  </r>
  <r>
    <n v="25899"/>
    <x v="0"/>
    <x v="0"/>
    <n v="70000"/>
    <n v="2"/>
    <x v="2"/>
    <x v="2"/>
    <x v="0"/>
    <x v="2"/>
    <x v="4"/>
    <x v="2"/>
    <n v="53"/>
    <x v="0"/>
    <x v="0"/>
  </r>
  <r>
    <n v="13351"/>
    <x v="1"/>
    <x v="0"/>
    <n v="70000"/>
    <n v="4"/>
    <x v="0"/>
    <x v="4"/>
    <x v="0"/>
    <x v="2"/>
    <x v="3"/>
    <x v="2"/>
    <n v="62"/>
    <x v="1"/>
    <x v="1"/>
  </r>
  <r>
    <n v="23333"/>
    <x v="0"/>
    <x v="1"/>
    <n v="40000"/>
    <n v="0"/>
    <x v="1"/>
    <x v="0"/>
    <x v="1"/>
    <x v="2"/>
    <x v="3"/>
    <x v="2"/>
    <n v="30"/>
    <x v="2"/>
    <x v="0"/>
  </r>
  <r>
    <n v="21660"/>
    <x v="0"/>
    <x v="0"/>
    <n v="60000"/>
    <n v="3"/>
    <x v="4"/>
    <x v="2"/>
    <x v="0"/>
    <x v="0"/>
    <x v="1"/>
    <x v="2"/>
    <n v="43"/>
    <x v="0"/>
    <x v="1"/>
  </r>
  <r>
    <n v="17012"/>
    <x v="0"/>
    <x v="0"/>
    <n v="60000"/>
    <n v="3"/>
    <x v="4"/>
    <x v="2"/>
    <x v="0"/>
    <x v="0"/>
    <x v="1"/>
    <x v="2"/>
    <n v="42"/>
    <x v="0"/>
    <x v="1"/>
  </r>
  <r>
    <n v="24514"/>
    <x v="0"/>
    <x v="1"/>
    <n v="40000"/>
    <n v="0"/>
    <x v="1"/>
    <x v="0"/>
    <x v="0"/>
    <x v="1"/>
    <x v="2"/>
    <x v="2"/>
    <n v="30"/>
    <x v="2"/>
    <x v="0"/>
  </r>
  <r>
    <n v="27505"/>
    <x v="1"/>
    <x v="0"/>
    <n v="40000"/>
    <n v="0"/>
    <x v="2"/>
    <x v="0"/>
    <x v="0"/>
    <x v="2"/>
    <x v="2"/>
    <x v="2"/>
    <n v="30"/>
    <x v="2"/>
    <x v="0"/>
  </r>
  <r>
    <n v="29243"/>
    <x v="1"/>
    <x v="1"/>
    <n v="110000"/>
    <n v="1"/>
    <x v="0"/>
    <x v="4"/>
    <x v="0"/>
    <x v="1"/>
    <x v="2"/>
    <x v="2"/>
    <n v="43"/>
    <x v="0"/>
    <x v="0"/>
  </r>
  <r>
    <n v="26582"/>
    <x v="0"/>
    <x v="1"/>
    <n v="60000"/>
    <n v="0"/>
    <x v="1"/>
    <x v="0"/>
    <x v="0"/>
    <x v="2"/>
    <x v="2"/>
    <x v="2"/>
    <n v="33"/>
    <x v="0"/>
    <x v="1"/>
  </r>
  <r>
    <n v="14271"/>
    <x v="0"/>
    <x v="1"/>
    <n v="30000"/>
    <n v="0"/>
    <x v="2"/>
    <x v="0"/>
    <x v="0"/>
    <x v="2"/>
    <x v="2"/>
    <x v="2"/>
    <n v="32"/>
    <x v="0"/>
    <x v="0"/>
  </r>
  <r>
    <n v="23041"/>
    <x v="1"/>
    <x v="0"/>
    <n v="70000"/>
    <n v="4"/>
    <x v="2"/>
    <x v="2"/>
    <x v="0"/>
    <x v="0"/>
    <x v="2"/>
    <x v="2"/>
    <n v="50"/>
    <x v="0"/>
    <x v="1"/>
  </r>
  <r>
    <n v="29048"/>
    <x v="1"/>
    <x v="1"/>
    <n v="110000"/>
    <n v="2"/>
    <x v="0"/>
    <x v="4"/>
    <x v="1"/>
    <x v="4"/>
    <x v="0"/>
    <x v="2"/>
    <n v="37"/>
    <x v="0"/>
    <x v="1"/>
  </r>
  <r>
    <n v="24433"/>
    <x v="0"/>
    <x v="1"/>
    <n v="70000"/>
    <n v="3"/>
    <x v="2"/>
    <x v="2"/>
    <x v="1"/>
    <x v="1"/>
    <x v="3"/>
    <x v="2"/>
    <n v="52"/>
    <x v="0"/>
    <x v="1"/>
  </r>
  <r>
    <n v="15501"/>
    <x v="0"/>
    <x v="1"/>
    <n v="70000"/>
    <n v="4"/>
    <x v="4"/>
    <x v="2"/>
    <x v="0"/>
    <x v="0"/>
    <x v="1"/>
    <x v="2"/>
    <n v="36"/>
    <x v="0"/>
    <x v="1"/>
  </r>
  <r>
    <n v="13911"/>
    <x v="1"/>
    <x v="0"/>
    <n v="80000"/>
    <n v="3"/>
    <x v="0"/>
    <x v="0"/>
    <x v="0"/>
    <x v="2"/>
    <x v="1"/>
    <x v="2"/>
    <n v="41"/>
    <x v="0"/>
    <x v="1"/>
  </r>
  <r>
    <n v="20421"/>
    <x v="1"/>
    <x v="0"/>
    <n v="40000"/>
    <n v="0"/>
    <x v="3"/>
    <x v="1"/>
    <x v="0"/>
    <x v="2"/>
    <x v="2"/>
    <x v="2"/>
    <n v="26"/>
    <x v="2"/>
    <x v="0"/>
  </r>
  <r>
    <n v="16009"/>
    <x v="1"/>
    <x v="1"/>
    <n v="170000"/>
    <n v="1"/>
    <x v="4"/>
    <x v="4"/>
    <x v="1"/>
    <x v="3"/>
    <x v="0"/>
    <x v="2"/>
    <n v="66"/>
    <x v="1"/>
    <x v="0"/>
  </r>
  <r>
    <n v="18411"/>
    <x v="0"/>
    <x v="1"/>
    <n v="60000"/>
    <n v="2"/>
    <x v="2"/>
    <x v="2"/>
    <x v="1"/>
    <x v="2"/>
    <x v="2"/>
    <x v="2"/>
    <n v="51"/>
    <x v="0"/>
    <x v="0"/>
  </r>
  <r>
    <n v="19163"/>
    <x v="0"/>
    <x v="0"/>
    <n v="70000"/>
    <n v="4"/>
    <x v="0"/>
    <x v="2"/>
    <x v="0"/>
    <x v="2"/>
    <x v="0"/>
    <x v="2"/>
    <n v="43"/>
    <x v="0"/>
    <x v="1"/>
  </r>
  <r>
    <n v="18572"/>
    <x v="0"/>
    <x v="0"/>
    <n v="60000"/>
    <n v="0"/>
    <x v="4"/>
    <x v="2"/>
    <x v="0"/>
    <x v="0"/>
    <x v="0"/>
    <x v="2"/>
    <n v="39"/>
    <x v="0"/>
    <x v="0"/>
  </r>
  <r>
    <n v="27540"/>
    <x v="1"/>
    <x v="0"/>
    <n v="70000"/>
    <n v="0"/>
    <x v="0"/>
    <x v="2"/>
    <x v="1"/>
    <x v="1"/>
    <x v="0"/>
    <x v="2"/>
    <n v="37"/>
    <x v="0"/>
    <x v="1"/>
  </r>
  <r>
    <n v="19889"/>
    <x v="1"/>
    <x v="0"/>
    <n v="70000"/>
    <n v="2"/>
    <x v="3"/>
    <x v="0"/>
    <x v="1"/>
    <x v="2"/>
    <x v="1"/>
    <x v="2"/>
    <n v="54"/>
    <x v="0"/>
    <x v="1"/>
  </r>
  <r>
    <n v="12922"/>
    <x v="1"/>
    <x v="0"/>
    <n v="60000"/>
    <n v="3"/>
    <x v="0"/>
    <x v="0"/>
    <x v="0"/>
    <x v="0"/>
    <x v="1"/>
    <x v="2"/>
    <n v="40"/>
    <x v="0"/>
    <x v="1"/>
  </r>
  <r>
    <n v="18891"/>
    <x v="0"/>
    <x v="0"/>
    <n v="40000"/>
    <n v="0"/>
    <x v="1"/>
    <x v="0"/>
    <x v="0"/>
    <x v="2"/>
    <x v="2"/>
    <x v="2"/>
    <n v="28"/>
    <x v="2"/>
    <x v="0"/>
  </r>
  <r>
    <n v="16773"/>
    <x v="0"/>
    <x v="1"/>
    <n v="60000"/>
    <n v="1"/>
    <x v="4"/>
    <x v="0"/>
    <x v="0"/>
    <x v="0"/>
    <x v="0"/>
    <x v="2"/>
    <n v="33"/>
    <x v="0"/>
    <x v="0"/>
  </r>
  <r>
    <n v="19143"/>
    <x v="1"/>
    <x v="0"/>
    <n v="80000"/>
    <n v="3"/>
    <x v="0"/>
    <x v="0"/>
    <x v="0"/>
    <x v="2"/>
    <x v="1"/>
    <x v="2"/>
    <n v="41"/>
    <x v="0"/>
    <x v="1"/>
  </r>
  <r>
    <n v="23882"/>
    <x v="1"/>
    <x v="0"/>
    <n v="80000"/>
    <n v="3"/>
    <x v="4"/>
    <x v="2"/>
    <x v="0"/>
    <x v="0"/>
    <x v="0"/>
    <x v="2"/>
    <n v="37"/>
    <x v="0"/>
    <x v="1"/>
  </r>
  <r>
    <n v="11233"/>
    <x v="0"/>
    <x v="1"/>
    <n v="70000"/>
    <n v="4"/>
    <x v="1"/>
    <x v="2"/>
    <x v="0"/>
    <x v="2"/>
    <x v="4"/>
    <x v="2"/>
    <n v="53"/>
    <x v="0"/>
    <x v="0"/>
  </r>
  <r>
    <n v="12056"/>
    <x v="0"/>
    <x v="1"/>
    <n v="120000"/>
    <n v="2"/>
    <x v="4"/>
    <x v="4"/>
    <x v="0"/>
    <x v="4"/>
    <x v="2"/>
    <x v="2"/>
    <n v="64"/>
    <x v="1"/>
    <x v="0"/>
  </r>
  <r>
    <n v="15555"/>
    <x v="0"/>
    <x v="0"/>
    <n v="60000"/>
    <n v="1"/>
    <x v="1"/>
    <x v="0"/>
    <x v="0"/>
    <x v="1"/>
    <x v="1"/>
    <x v="2"/>
    <n v="45"/>
    <x v="0"/>
    <x v="1"/>
  </r>
  <r>
    <n v="18423"/>
    <x v="1"/>
    <x v="1"/>
    <n v="80000"/>
    <n v="2"/>
    <x v="3"/>
    <x v="0"/>
    <x v="1"/>
    <x v="2"/>
    <x v="3"/>
    <x v="2"/>
    <n v="52"/>
    <x v="0"/>
    <x v="0"/>
  </r>
  <r>
    <n v="22743"/>
    <x v="0"/>
    <x v="0"/>
    <n v="40000"/>
    <n v="5"/>
    <x v="2"/>
    <x v="2"/>
    <x v="0"/>
    <x v="2"/>
    <x v="4"/>
    <x v="2"/>
    <n v="60"/>
    <x v="1"/>
    <x v="0"/>
  </r>
  <r>
    <n v="25343"/>
    <x v="1"/>
    <x v="0"/>
    <n v="20000"/>
    <n v="3"/>
    <x v="3"/>
    <x v="1"/>
    <x v="0"/>
    <x v="2"/>
    <x v="3"/>
    <x v="2"/>
    <n v="50"/>
    <x v="0"/>
    <x v="0"/>
  </r>
  <r>
    <n v="13390"/>
    <x v="0"/>
    <x v="0"/>
    <n v="70000"/>
    <n v="4"/>
    <x v="1"/>
    <x v="2"/>
    <x v="1"/>
    <x v="1"/>
    <x v="3"/>
    <x v="2"/>
    <n v="56"/>
    <x v="1"/>
    <x v="0"/>
  </r>
  <r>
    <n v="17482"/>
    <x v="1"/>
    <x v="0"/>
    <n v="40000"/>
    <n v="0"/>
    <x v="3"/>
    <x v="1"/>
    <x v="0"/>
    <x v="2"/>
    <x v="2"/>
    <x v="2"/>
    <n v="29"/>
    <x v="2"/>
    <x v="0"/>
  </r>
  <r>
    <n v="13176"/>
    <x v="1"/>
    <x v="1"/>
    <n v="130000"/>
    <n v="0"/>
    <x v="4"/>
    <x v="4"/>
    <x v="1"/>
    <x v="2"/>
    <x v="0"/>
    <x v="2"/>
    <n v="38"/>
    <x v="0"/>
    <x v="1"/>
  </r>
  <r>
    <n v="20504"/>
    <x v="0"/>
    <x v="0"/>
    <n v="40000"/>
    <n v="5"/>
    <x v="2"/>
    <x v="2"/>
    <x v="1"/>
    <x v="2"/>
    <x v="1"/>
    <x v="2"/>
    <n v="60"/>
    <x v="1"/>
    <x v="0"/>
  </r>
  <r>
    <n v="12205"/>
    <x v="1"/>
    <x v="0"/>
    <n v="130000"/>
    <n v="2"/>
    <x v="0"/>
    <x v="4"/>
    <x v="1"/>
    <x v="3"/>
    <x v="0"/>
    <x v="2"/>
    <n v="67"/>
    <x v="1"/>
    <x v="0"/>
  </r>
  <r>
    <n v="16751"/>
    <x v="0"/>
    <x v="1"/>
    <n v="60000"/>
    <n v="0"/>
    <x v="1"/>
    <x v="0"/>
    <x v="0"/>
    <x v="1"/>
    <x v="2"/>
    <x v="2"/>
    <n v="32"/>
    <x v="0"/>
    <x v="1"/>
  </r>
  <r>
    <n v="21613"/>
    <x v="1"/>
    <x v="1"/>
    <n v="50000"/>
    <n v="2"/>
    <x v="0"/>
    <x v="0"/>
    <x v="1"/>
    <x v="1"/>
    <x v="0"/>
    <x v="2"/>
    <n v="39"/>
    <x v="0"/>
    <x v="1"/>
  </r>
  <r>
    <n v="24801"/>
    <x v="1"/>
    <x v="1"/>
    <n v="60000"/>
    <n v="1"/>
    <x v="4"/>
    <x v="2"/>
    <x v="0"/>
    <x v="0"/>
    <x v="1"/>
    <x v="2"/>
    <n v="35"/>
    <x v="0"/>
    <x v="1"/>
  </r>
  <r>
    <n v="17519"/>
    <x v="0"/>
    <x v="0"/>
    <n v="60000"/>
    <n v="0"/>
    <x v="1"/>
    <x v="2"/>
    <x v="0"/>
    <x v="2"/>
    <x v="2"/>
    <x v="2"/>
    <n v="32"/>
    <x v="0"/>
    <x v="0"/>
  </r>
  <r>
    <n v="18347"/>
    <x v="1"/>
    <x v="0"/>
    <n v="30000"/>
    <n v="0"/>
    <x v="1"/>
    <x v="0"/>
    <x v="1"/>
    <x v="1"/>
    <x v="3"/>
    <x v="2"/>
    <n v="31"/>
    <x v="0"/>
    <x v="0"/>
  </r>
  <r>
    <n v="29052"/>
    <x v="1"/>
    <x v="1"/>
    <n v="40000"/>
    <n v="0"/>
    <x v="1"/>
    <x v="0"/>
    <x v="0"/>
    <x v="1"/>
    <x v="2"/>
    <x v="2"/>
    <n v="27"/>
    <x v="2"/>
    <x v="0"/>
  </r>
  <r>
    <n v="11745"/>
    <x v="0"/>
    <x v="0"/>
    <n v="60000"/>
    <n v="1"/>
    <x v="0"/>
    <x v="2"/>
    <x v="0"/>
    <x v="1"/>
    <x v="0"/>
    <x v="2"/>
    <n v="47"/>
    <x v="0"/>
    <x v="1"/>
  </r>
  <r>
    <n v="19147"/>
    <x v="0"/>
    <x v="1"/>
    <n v="40000"/>
    <n v="0"/>
    <x v="0"/>
    <x v="2"/>
    <x v="1"/>
    <x v="1"/>
    <x v="0"/>
    <x v="2"/>
    <n v="42"/>
    <x v="0"/>
    <x v="0"/>
  </r>
  <r>
    <n v="19217"/>
    <x v="0"/>
    <x v="1"/>
    <n v="30000"/>
    <n v="2"/>
    <x v="2"/>
    <x v="0"/>
    <x v="0"/>
    <x v="2"/>
    <x v="3"/>
    <x v="2"/>
    <n v="49"/>
    <x v="0"/>
    <x v="0"/>
  </r>
  <r>
    <n v="15839"/>
    <x v="1"/>
    <x v="1"/>
    <n v="30000"/>
    <n v="0"/>
    <x v="1"/>
    <x v="0"/>
    <x v="0"/>
    <x v="1"/>
    <x v="2"/>
    <x v="2"/>
    <n v="32"/>
    <x v="0"/>
    <x v="0"/>
  </r>
  <r>
    <n v="13714"/>
    <x v="0"/>
    <x v="0"/>
    <n v="20000"/>
    <n v="2"/>
    <x v="2"/>
    <x v="3"/>
    <x v="1"/>
    <x v="2"/>
    <x v="3"/>
    <x v="2"/>
    <n v="53"/>
    <x v="0"/>
    <x v="1"/>
  </r>
  <r>
    <n v="22330"/>
    <x v="0"/>
    <x v="1"/>
    <n v="50000"/>
    <n v="0"/>
    <x v="4"/>
    <x v="0"/>
    <x v="0"/>
    <x v="0"/>
    <x v="3"/>
    <x v="2"/>
    <n v="32"/>
    <x v="0"/>
    <x v="1"/>
  </r>
  <r>
    <n v="18783"/>
    <x v="1"/>
    <x v="1"/>
    <n v="80000"/>
    <n v="0"/>
    <x v="0"/>
    <x v="4"/>
    <x v="1"/>
    <x v="1"/>
    <x v="0"/>
    <x v="2"/>
    <n v="38"/>
    <x v="0"/>
    <x v="1"/>
  </r>
  <r>
    <n v="25041"/>
    <x v="1"/>
    <x v="1"/>
    <n v="40000"/>
    <n v="0"/>
    <x v="2"/>
    <x v="0"/>
    <x v="0"/>
    <x v="2"/>
    <x v="2"/>
    <x v="2"/>
    <n v="31"/>
    <x v="0"/>
    <x v="0"/>
  </r>
  <r>
    <n v="22046"/>
    <x v="1"/>
    <x v="0"/>
    <n v="80000"/>
    <n v="0"/>
    <x v="0"/>
    <x v="4"/>
    <x v="1"/>
    <x v="1"/>
    <x v="0"/>
    <x v="2"/>
    <n v="38"/>
    <x v="0"/>
    <x v="1"/>
  </r>
  <r>
    <n v="28052"/>
    <x v="0"/>
    <x v="1"/>
    <n v="60000"/>
    <n v="2"/>
    <x v="2"/>
    <x v="2"/>
    <x v="0"/>
    <x v="2"/>
    <x v="4"/>
    <x v="2"/>
    <n v="55"/>
    <x v="1"/>
    <x v="0"/>
  </r>
  <r>
    <n v="26693"/>
    <x v="0"/>
    <x v="1"/>
    <n v="70000"/>
    <n v="3"/>
    <x v="1"/>
    <x v="2"/>
    <x v="0"/>
    <x v="1"/>
    <x v="2"/>
    <x v="2"/>
    <n v="49"/>
    <x v="0"/>
    <x v="0"/>
  </r>
  <r>
    <n v="24955"/>
    <x v="1"/>
    <x v="1"/>
    <n v="30000"/>
    <n v="5"/>
    <x v="3"/>
    <x v="0"/>
    <x v="0"/>
    <x v="4"/>
    <x v="4"/>
    <x v="2"/>
    <n v="60"/>
    <x v="1"/>
    <x v="1"/>
  </r>
  <r>
    <n v="26065"/>
    <x v="1"/>
    <x v="0"/>
    <n v="110000"/>
    <n v="3"/>
    <x v="0"/>
    <x v="4"/>
    <x v="1"/>
    <x v="3"/>
    <x v="3"/>
    <x v="2"/>
    <n v="42"/>
    <x v="0"/>
    <x v="0"/>
  </r>
  <r>
    <n v="13942"/>
    <x v="0"/>
    <x v="1"/>
    <n v="60000"/>
    <n v="1"/>
    <x v="1"/>
    <x v="0"/>
    <x v="0"/>
    <x v="1"/>
    <x v="0"/>
    <x v="2"/>
    <n v="46"/>
    <x v="0"/>
    <x v="0"/>
  </r>
  <r>
    <n v="11219"/>
    <x v="0"/>
    <x v="1"/>
    <n v="60000"/>
    <n v="2"/>
    <x v="2"/>
    <x v="2"/>
    <x v="0"/>
    <x v="2"/>
    <x v="4"/>
    <x v="2"/>
    <n v="55"/>
    <x v="1"/>
    <x v="0"/>
  </r>
  <r>
    <n v="22118"/>
    <x v="1"/>
    <x v="0"/>
    <n v="70000"/>
    <n v="3"/>
    <x v="4"/>
    <x v="4"/>
    <x v="0"/>
    <x v="2"/>
    <x v="2"/>
    <x v="2"/>
    <n v="53"/>
    <x v="0"/>
    <x v="1"/>
  </r>
  <r>
    <n v="23197"/>
    <x v="0"/>
    <x v="1"/>
    <n v="50000"/>
    <n v="3"/>
    <x v="0"/>
    <x v="0"/>
    <x v="0"/>
    <x v="2"/>
    <x v="1"/>
    <x v="2"/>
    <n v="40"/>
    <x v="0"/>
    <x v="0"/>
  </r>
  <r>
    <n v="14883"/>
    <x v="0"/>
    <x v="0"/>
    <n v="30000"/>
    <n v="1"/>
    <x v="0"/>
    <x v="0"/>
    <x v="0"/>
    <x v="1"/>
    <x v="2"/>
    <x v="2"/>
    <n v="53"/>
    <x v="0"/>
    <x v="1"/>
  </r>
  <r>
    <n v="27279"/>
    <x v="1"/>
    <x v="0"/>
    <n v="70000"/>
    <n v="2"/>
    <x v="0"/>
    <x v="0"/>
    <x v="0"/>
    <x v="0"/>
    <x v="1"/>
    <x v="2"/>
    <n v="38"/>
    <x v="0"/>
    <x v="1"/>
  </r>
  <r>
    <n v="18322"/>
    <x v="1"/>
    <x v="1"/>
    <n v="30000"/>
    <n v="0"/>
    <x v="3"/>
    <x v="1"/>
    <x v="1"/>
    <x v="2"/>
    <x v="0"/>
    <x v="2"/>
    <n v="26"/>
    <x v="2"/>
    <x v="0"/>
  </r>
  <r>
    <n v="15879"/>
    <x v="0"/>
    <x v="1"/>
    <n v="70000"/>
    <n v="5"/>
    <x v="0"/>
    <x v="4"/>
    <x v="0"/>
    <x v="2"/>
    <x v="1"/>
    <x v="2"/>
    <n v="61"/>
    <x v="1"/>
    <x v="0"/>
  </r>
  <r>
    <n v="28278"/>
    <x v="0"/>
    <x v="1"/>
    <n v="50000"/>
    <n v="2"/>
    <x v="4"/>
    <x v="4"/>
    <x v="0"/>
    <x v="2"/>
    <x v="2"/>
    <x v="2"/>
    <n v="71"/>
    <x v="1"/>
    <x v="0"/>
  </r>
  <r>
    <n v="24416"/>
    <x v="0"/>
    <x v="1"/>
    <n v="90000"/>
    <n v="4"/>
    <x v="2"/>
    <x v="2"/>
    <x v="0"/>
    <x v="2"/>
    <x v="3"/>
    <x v="2"/>
    <n v="45"/>
    <x v="0"/>
    <x v="0"/>
  </r>
  <r>
    <n v="28066"/>
    <x v="0"/>
    <x v="1"/>
    <n v="80000"/>
    <n v="2"/>
    <x v="4"/>
    <x v="2"/>
    <x v="0"/>
    <x v="0"/>
    <x v="0"/>
    <x v="2"/>
    <n v="37"/>
    <x v="0"/>
    <x v="1"/>
  </r>
  <r>
    <n v="11275"/>
    <x v="0"/>
    <x v="0"/>
    <n v="80000"/>
    <n v="4"/>
    <x v="4"/>
    <x v="4"/>
    <x v="0"/>
    <x v="2"/>
    <x v="0"/>
    <x v="2"/>
    <n v="72"/>
    <x v="1"/>
    <x v="1"/>
  </r>
  <r>
    <n v="14872"/>
    <x v="0"/>
    <x v="1"/>
    <n v="30000"/>
    <n v="0"/>
    <x v="4"/>
    <x v="0"/>
    <x v="0"/>
    <x v="0"/>
    <x v="0"/>
    <x v="2"/>
    <n v="32"/>
    <x v="0"/>
    <x v="0"/>
  </r>
  <r>
    <n v="16151"/>
    <x v="0"/>
    <x v="0"/>
    <n v="60000"/>
    <n v="1"/>
    <x v="0"/>
    <x v="2"/>
    <x v="0"/>
    <x v="1"/>
    <x v="1"/>
    <x v="2"/>
    <n v="48"/>
    <x v="0"/>
    <x v="1"/>
  </r>
  <r>
    <n v="19731"/>
    <x v="0"/>
    <x v="1"/>
    <n v="80000"/>
    <n v="4"/>
    <x v="4"/>
    <x v="4"/>
    <x v="0"/>
    <x v="2"/>
    <x v="2"/>
    <x v="2"/>
    <n v="68"/>
    <x v="1"/>
    <x v="0"/>
  </r>
  <r>
    <n v="23801"/>
    <x v="0"/>
    <x v="0"/>
    <n v="20000"/>
    <n v="2"/>
    <x v="3"/>
    <x v="1"/>
    <x v="0"/>
    <x v="2"/>
    <x v="0"/>
    <x v="2"/>
    <n v="49"/>
    <x v="0"/>
    <x v="0"/>
  </r>
  <r>
    <n v="11807"/>
    <x v="0"/>
    <x v="1"/>
    <n v="70000"/>
    <n v="3"/>
    <x v="4"/>
    <x v="2"/>
    <x v="0"/>
    <x v="0"/>
    <x v="1"/>
    <x v="2"/>
    <n v="34"/>
    <x v="0"/>
    <x v="0"/>
  </r>
  <r>
    <n v="11622"/>
    <x v="0"/>
    <x v="1"/>
    <n v="50000"/>
    <n v="0"/>
    <x v="4"/>
    <x v="0"/>
    <x v="0"/>
    <x v="0"/>
    <x v="0"/>
    <x v="2"/>
    <n v="32"/>
    <x v="0"/>
    <x v="0"/>
  </r>
  <r>
    <n v="26597"/>
    <x v="1"/>
    <x v="0"/>
    <n v="60000"/>
    <n v="4"/>
    <x v="0"/>
    <x v="0"/>
    <x v="1"/>
    <x v="2"/>
    <x v="0"/>
    <x v="2"/>
    <n v="42"/>
    <x v="0"/>
    <x v="0"/>
  </r>
  <r>
    <n v="27074"/>
    <x v="0"/>
    <x v="0"/>
    <n v="70000"/>
    <n v="1"/>
    <x v="4"/>
    <x v="0"/>
    <x v="0"/>
    <x v="0"/>
    <x v="0"/>
    <x v="2"/>
    <n v="35"/>
    <x v="0"/>
    <x v="1"/>
  </r>
  <r>
    <n v="19228"/>
    <x v="0"/>
    <x v="0"/>
    <n v="40000"/>
    <n v="2"/>
    <x v="1"/>
    <x v="1"/>
    <x v="0"/>
    <x v="1"/>
    <x v="0"/>
    <x v="2"/>
    <n v="48"/>
    <x v="0"/>
    <x v="0"/>
  </r>
  <r>
    <n v="13415"/>
    <x v="1"/>
    <x v="1"/>
    <n v="100000"/>
    <n v="1"/>
    <x v="4"/>
    <x v="4"/>
    <x v="0"/>
    <x v="4"/>
    <x v="1"/>
    <x v="2"/>
    <n v="73"/>
    <x v="1"/>
    <x v="1"/>
  </r>
  <r>
    <n v="17000"/>
    <x v="1"/>
    <x v="0"/>
    <n v="70000"/>
    <n v="4"/>
    <x v="0"/>
    <x v="0"/>
    <x v="0"/>
    <x v="2"/>
    <x v="1"/>
    <x v="2"/>
    <n v="43"/>
    <x v="0"/>
    <x v="1"/>
  </r>
  <r>
    <n v="14569"/>
    <x v="0"/>
    <x v="1"/>
    <n v="60000"/>
    <n v="1"/>
    <x v="4"/>
    <x v="2"/>
    <x v="0"/>
    <x v="0"/>
    <x v="0"/>
    <x v="2"/>
    <n v="35"/>
    <x v="0"/>
    <x v="0"/>
  </r>
  <r>
    <n v="13873"/>
    <x v="0"/>
    <x v="1"/>
    <n v="70000"/>
    <n v="3"/>
    <x v="4"/>
    <x v="2"/>
    <x v="0"/>
    <x v="0"/>
    <x v="0"/>
    <x v="2"/>
    <n v="35"/>
    <x v="0"/>
    <x v="1"/>
  </r>
  <r>
    <n v="20401"/>
    <x v="0"/>
    <x v="0"/>
    <n v="50000"/>
    <n v="4"/>
    <x v="0"/>
    <x v="4"/>
    <x v="0"/>
    <x v="2"/>
    <x v="3"/>
    <x v="2"/>
    <n v="64"/>
    <x v="1"/>
    <x v="1"/>
  </r>
  <r>
    <n v="21583"/>
    <x v="0"/>
    <x v="0"/>
    <n v="50000"/>
    <n v="1"/>
    <x v="0"/>
    <x v="0"/>
    <x v="0"/>
    <x v="0"/>
    <x v="0"/>
    <x v="2"/>
    <n v="34"/>
    <x v="0"/>
    <x v="1"/>
  </r>
  <r>
    <n v="12029"/>
    <x v="0"/>
    <x v="1"/>
    <n v="30000"/>
    <n v="0"/>
    <x v="3"/>
    <x v="1"/>
    <x v="1"/>
    <x v="2"/>
    <x v="0"/>
    <x v="2"/>
    <n v="28"/>
    <x v="2"/>
    <x v="0"/>
  </r>
  <r>
    <n v="18066"/>
    <x v="1"/>
    <x v="1"/>
    <n v="70000"/>
    <n v="5"/>
    <x v="0"/>
    <x v="4"/>
    <x v="0"/>
    <x v="4"/>
    <x v="4"/>
    <x v="2"/>
    <n v="60"/>
    <x v="1"/>
    <x v="1"/>
  </r>
  <r>
    <n v="28192"/>
    <x v="0"/>
    <x v="0"/>
    <n v="70000"/>
    <n v="5"/>
    <x v="4"/>
    <x v="2"/>
    <x v="0"/>
    <x v="4"/>
    <x v="4"/>
    <x v="2"/>
    <n v="46"/>
    <x v="0"/>
    <x v="0"/>
  </r>
  <r>
    <n v="16122"/>
    <x v="0"/>
    <x v="1"/>
    <n v="40000"/>
    <n v="4"/>
    <x v="2"/>
    <x v="0"/>
    <x v="0"/>
    <x v="2"/>
    <x v="0"/>
    <x v="2"/>
    <n v="44"/>
    <x v="0"/>
    <x v="1"/>
  </r>
  <r>
    <n v="18607"/>
    <x v="1"/>
    <x v="0"/>
    <n v="60000"/>
    <n v="4"/>
    <x v="0"/>
    <x v="0"/>
    <x v="0"/>
    <x v="2"/>
    <x v="1"/>
    <x v="2"/>
    <n v="42"/>
    <x v="0"/>
    <x v="1"/>
  </r>
  <r>
    <n v="28858"/>
    <x v="1"/>
    <x v="1"/>
    <n v="80000"/>
    <n v="3"/>
    <x v="0"/>
    <x v="0"/>
    <x v="0"/>
    <x v="0"/>
    <x v="1"/>
    <x v="2"/>
    <n v="40"/>
    <x v="0"/>
    <x v="0"/>
  </r>
  <r>
    <n v="14432"/>
    <x v="1"/>
    <x v="1"/>
    <n v="90000"/>
    <n v="4"/>
    <x v="4"/>
    <x v="4"/>
    <x v="0"/>
    <x v="1"/>
    <x v="2"/>
    <x v="2"/>
    <n v="73"/>
    <x v="1"/>
    <x v="0"/>
  </r>
  <r>
    <n v="26305"/>
    <x v="1"/>
    <x v="0"/>
    <n v="60000"/>
    <n v="2"/>
    <x v="0"/>
    <x v="0"/>
    <x v="1"/>
    <x v="0"/>
    <x v="0"/>
    <x v="2"/>
    <n v="36"/>
    <x v="0"/>
    <x v="1"/>
  </r>
  <r>
    <n v="22050"/>
    <x v="1"/>
    <x v="1"/>
    <n v="90000"/>
    <n v="4"/>
    <x v="0"/>
    <x v="4"/>
    <x v="0"/>
    <x v="1"/>
    <x v="3"/>
    <x v="2"/>
    <n v="38"/>
    <x v="0"/>
    <x v="1"/>
  </r>
  <r>
    <n v="25394"/>
    <x v="0"/>
    <x v="1"/>
    <n v="60000"/>
    <n v="1"/>
    <x v="4"/>
    <x v="2"/>
    <x v="0"/>
    <x v="0"/>
    <x v="1"/>
    <x v="2"/>
    <n v="34"/>
    <x v="0"/>
    <x v="1"/>
  </r>
  <r>
    <n v="19747"/>
    <x v="0"/>
    <x v="1"/>
    <n v="50000"/>
    <n v="4"/>
    <x v="0"/>
    <x v="4"/>
    <x v="0"/>
    <x v="2"/>
    <x v="4"/>
    <x v="2"/>
    <n v="63"/>
    <x v="1"/>
    <x v="0"/>
  </r>
  <r>
    <n v="23195"/>
    <x v="1"/>
    <x v="1"/>
    <n v="50000"/>
    <n v="3"/>
    <x v="0"/>
    <x v="0"/>
    <x v="0"/>
    <x v="2"/>
    <x v="1"/>
    <x v="2"/>
    <n v="41"/>
    <x v="0"/>
    <x v="1"/>
  </r>
  <r>
    <n v="21695"/>
    <x v="0"/>
    <x v="1"/>
    <n v="60000"/>
    <n v="0"/>
    <x v="4"/>
    <x v="0"/>
    <x v="0"/>
    <x v="0"/>
    <x v="3"/>
    <x v="2"/>
    <n v="39"/>
    <x v="0"/>
    <x v="1"/>
  </r>
  <r>
    <n v="13934"/>
    <x v="0"/>
    <x v="1"/>
    <n v="40000"/>
    <n v="4"/>
    <x v="2"/>
    <x v="0"/>
    <x v="0"/>
    <x v="2"/>
    <x v="1"/>
    <x v="2"/>
    <n v="46"/>
    <x v="0"/>
    <x v="0"/>
  </r>
  <r>
    <n v="13337"/>
    <x v="0"/>
    <x v="0"/>
    <n v="80000"/>
    <n v="5"/>
    <x v="0"/>
    <x v="4"/>
    <x v="0"/>
    <x v="2"/>
    <x v="2"/>
    <x v="2"/>
    <n v="64"/>
    <x v="1"/>
    <x v="0"/>
  </r>
  <r>
    <n v="27190"/>
    <x v="0"/>
    <x v="0"/>
    <n v="40000"/>
    <n v="3"/>
    <x v="1"/>
    <x v="1"/>
    <x v="0"/>
    <x v="1"/>
    <x v="3"/>
    <x v="2"/>
    <n v="32"/>
    <x v="0"/>
    <x v="0"/>
  </r>
  <r>
    <n v="28657"/>
    <x v="1"/>
    <x v="1"/>
    <n v="60000"/>
    <n v="2"/>
    <x v="0"/>
    <x v="0"/>
    <x v="0"/>
    <x v="0"/>
    <x v="1"/>
    <x v="2"/>
    <n v="36"/>
    <x v="0"/>
    <x v="1"/>
  </r>
  <r>
    <n v="21713"/>
    <x v="1"/>
    <x v="1"/>
    <n v="80000"/>
    <n v="5"/>
    <x v="4"/>
    <x v="0"/>
    <x v="1"/>
    <x v="0"/>
    <x v="0"/>
    <x v="2"/>
    <n v="47"/>
    <x v="0"/>
    <x v="0"/>
  </r>
  <r>
    <n v="21752"/>
    <x v="0"/>
    <x v="1"/>
    <n v="60000"/>
    <n v="3"/>
    <x v="4"/>
    <x v="4"/>
    <x v="0"/>
    <x v="2"/>
    <x v="4"/>
    <x v="2"/>
    <n v="64"/>
    <x v="1"/>
    <x v="0"/>
  </r>
  <r>
    <n v="27273"/>
    <x v="1"/>
    <x v="1"/>
    <n v="70000"/>
    <n v="3"/>
    <x v="4"/>
    <x v="2"/>
    <x v="1"/>
    <x v="0"/>
    <x v="0"/>
    <x v="2"/>
    <n v="35"/>
    <x v="0"/>
    <x v="1"/>
  </r>
  <r>
    <n v="22719"/>
    <x v="1"/>
    <x v="1"/>
    <n v="110000"/>
    <n v="3"/>
    <x v="0"/>
    <x v="4"/>
    <x v="0"/>
    <x v="3"/>
    <x v="1"/>
    <x v="2"/>
    <n v="40"/>
    <x v="0"/>
    <x v="1"/>
  </r>
  <r>
    <n v="22042"/>
    <x v="0"/>
    <x v="0"/>
    <n v="70000"/>
    <n v="0"/>
    <x v="1"/>
    <x v="0"/>
    <x v="0"/>
    <x v="2"/>
    <x v="2"/>
    <x v="2"/>
    <n v="34"/>
    <x v="0"/>
    <x v="1"/>
  </r>
  <r>
    <n v="21451"/>
    <x v="0"/>
    <x v="0"/>
    <n v="40000"/>
    <n v="4"/>
    <x v="2"/>
    <x v="2"/>
    <x v="0"/>
    <x v="2"/>
    <x v="4"/>
    <x v="2"/>
    <n v="61"/>
    <x v="1"/>
    <x v="0"/>
  </r>
  <r>
    <n v="20754"/>
    <x v="0"/>
    <x v="1"/>
    <n v="30000"/>
    <n v="2"/>
    <x v="2"/>
    <x v="0"/>
    <x v="0"/>
    <x v="2"/>
    <x v="3"/>
    <x v="2"/>
    <n v="51"/>
    <x v="0"/>
    <x v="0"/>
  </r>
  <r>
    <n v="12153"/>
    <x v="1"/>
    <x v="0"/>
    <n v="70000"/>
    <n v="3"/>
    <x v="1"/>
    <x v="2"/>
    <x v="0"/>
    <x v="1"/>
    <x v="2"/>
    <x v="2"/>
    <n v="49"/>
    <x v="0"/>
    <x v="1"/>
  </r>
  <r>
    <n v="16895"/>
    <x v="0"/>
    <x v="0"/>
    <n v="40000"/>
    <n v="3"/>
    <x v="1"/>
    <x v="2"/>
    <x v="1"/>
    <x v="2"/>
    <x v="3"/>
    <x v="2"/>
    <n v="54"/>
    <x v="0"/>
    <x v="1"/>
  </r>
  <r>
    <n v="26728"/>
    <x v="1"/>
    <x v="1"/>
    <n v="70000"/>
    <n v="3"/>
    <x v="4"/>
    <x v="4"/>
    <x v="1"/>
    <x v="2"/>
    <x v="3"/>
    <x v="2"/>
    <n v="53"/>
    <x v="0"/>
    <x v="1"/>
  </r>
  <r>
    <n v="11090"/>
    <x v="1"/>
    <x v="1"/>
    <n v="90000"/>
    <n v="2"/>
    <x v="1"/>
    <x v="2"/>
    <x v="0"/>
    <x v="1"/>
    <x v="1"/>
    <x v="2"/>
    <n v="48"/>
    <x v="0"/>
    <x v="1"/>
  </r>
  <r>
    <n v="15862"/>
    <x v="1"/>
    <x v="0"/>
    <n v="50000"/>
    <n v="0"/>
    <x v="4"/>
    <x v="0"/>
    <x v="0"/>
    <x v="0"/>
    <x v="3"/>
    <x v="2"/>
    <n v="33"/>
    <x v="0"/>
    <x v="1"/>
  </r>
  <r>
    <n v="26495"/>
    <x v="1"/>
    <x v="0"/>
    <n v="40000"/>
    <n v="2"/>
    <x v="2"/>
    <x v="2"/>
    <x v="0"/>
    <x v="2"/>
    <x v="4"/>
    <x v="2"/>
    <n v="57"/>
    <x v="1"/>
    <x v="0"/>
  </r>
  <r>
    <n v="11823"/>
    <x v="0"/>
    <x v="0"/>
    <n v="70000"/>
    <n v="0"/>
    <x v="4"/>
    <x v="2"/>
    <x v="0"/>
    <x v="0"/>
    <x v="1"/>
    <x v="2"/>
    <n v="39"/>
    <x v="0"/>
    <x v="0"/>
  </r>
  <r>
    <n v="23449"/>
    <x v="0"/>
    <x v="1"/>
    <n v="60000"/>
    <n v="2"/>
    <x v="2"/>
    <x v="2"/>
    <x v="0"/>
    <x v="2"/>
    <x v="2"/>
    <x v="2"/>
    <n v="48"/>
    <x v="0"/>
    <x v="0"/>
  </r>
  <r>
    <n v="23459"/>
    <x v="0"/>
    <x v="1"/>
    <n v="60000"/>
    <n v="2"/>
    <x v="2"/>
    <x v="2"/>
    <x v="0"/>
    <x v="2"/>
    <x v="2"/>
    <x v="2"/>
    <n v="50"/>
    <x v="0"/>
    <x v="0"/>
  </r>
  <r>
    <n v="19543"/>
    <x v="0"/>
    <x v="1"/>
    <n v="70000"/>
    <n v="5"/>
    <x v="4"/>
    <x v="2"/>
    <x v="1"/>
    <x v="4"/>
    <x v="4"/>
    <x v="2"/>
    <n v="47"/>
    <x v="0"/>
    <x v="0"/>
  </r>
  <r>
    <n v="14914"/>
    <x v="0"/>
    <x v="0"/>
    <n v="40000"/>
    <n v="1"/>
    <x v="1"/>
    <x v="1"/>
    <x v="0"/>
    <x v="1"/>
    <x v="3"/>
    <x v="2"/>
    <n v="49"/>
    <x v="0"/>
    <x v="1"/>
  </r>
  <r>
    <n v="12033"/>
    <x v="1"/>
    <x v="0"/>
    <n v="40000"/>
    <n v="0"/>
    <x v="2"/>
    <x v="0"/>
    <x v="1"/>
    <x v="2"/>
    <x v="0"/>
    <x v="2"/>
    <n v="27"/>
    <x v="2"/>
    <x v="1"/>
  </r>
  <r>
    <n v="11941"/>
    <x v="1"/>
    <x v="1"/>
    <n v="60000"/>
    <n v="0"/>
    <x v="1"/>
    <x v="0"/>
    <x v="0"/>
    <x v="0"/>
    <x v="2"/>
    <x v="2"/>
    <n v="29"/>
    <x v="2"/>
    <x v="0"/>
  </r>
  <r>
    <n v="14389"/>
    <x v="0"/>
    <x v="1"/>
    <n v="60000"/>
    <n v="2"/>
    <x v="0"/>
    <x v="4"/>
    <x v="0"/>
    <x v="0"/>
    <x v="1"/>
    <x v="2"/>
    <n v="59"/>
    <x v="1"/>
    <x v="0"/>
  </r>
  <r>
    <n v="18050"/>
    <x v="0"/>
    <x v="0"/>
    <n v="60000"/>
    <n v="1"/>
    <x v="1"/>
    <x v="0"/>
    <x v="0"/>
    <x v="1"/>
    <x v="0"/>
    <x v="2"/>
    <n v="45"/>
    <x v="0"/>
    <x v="1"/>
  </r>
  <r>
    <n v="19856"/>
    <x v="0"/>
    <x v="0"/>
    <n v="60000"/>
    <n v="4"/>
    <x v="0"/>
    <x v="4"/>
    <x v="0"/>
    <x v="2"/>
    <x v="1"/>
    <x v="2"/>
    <n v="60"/>
    <x v="1"/>
    <x v="0"/>
  </r>
  <r>
    <n v="11663"/>
    <x v="0"/>
    <x v="1"/>
    <n v="70000"/>
    <n v="4"/>
    <x v="4"/>
    <x v="2"/>
    <x v="0"/>
    <x v="0"/>
    <x v="0"/>
    <x v="2"/>
    <n v="36"/>
    <x v="0"/>
    <x v="1"/>
  </r>
  <r>
    <n v="27740"/>
    <x v="0"/>
    <x v="0"/>
    <n v="40000"/>
    <n v="0"/>
    <x v="2"/>
    <x v="0"/>
    <x v="0"/>
    <x v="2"/>
    <x v="2"/>
    <x v="2"/>
    <n v="27"/>
    <x v="2"/>
    <x v="0"/>
  </r>
  <r>
    <n v="23455"/>
    <x v="1"/>
    <x v="1"/>
    <n v="80000"/>
    <n v="2"/>
    <x v="3"/>
    <x v="0"/>
    <x v="1"/>
    <x v="2"/>
    <x v="3"/>
    <x v="2"/>
    <n v="50"/>
    <x v="0"/>
    <x v="0"/>
  </r>
  <r>
    <n v="15292"/>
    <x v="1"/>
    <x v="0"/>
    <n v="60000"/>
    <n v="1"/>
    <x v="4"/>
    <x v="0"/>
    <x v="0"/>
    <x v="0"/>
    <x v="3"/>
    <x v="2"/>
    <n v="35"/>
    <x v="0"/>
    <x v="0"/>
  </r>
  <r>
    <n v="21587"/>
    <x v="0"/>
    <x v="0"/>
    <n v="60000"/>
    <n v="1"/>
    <x v="4"/>
    <x v="0"/>
    <x v="0"/>
    <x v="0"/>
    <x v="1"/>
    <x v="2"/>
    <n v="34"/>
    <x v="0"/>
    <x v="1"/>
  </r>
  <r>
    <n v="23513"/>
    <x v="0"/>
    <x v="0"/>
    <n v="40000"/>
    <n v="3"/>
    <x v="1"/>
    <x v="2"/>
    <x v="0"/>
    <x v="2"/>
    <x v="2"/>
    <x v="2"/>
    <n v="54"/>
    <x v="0"/>
    <x v="0"/>
  </r>
  <r>
    <n v="24322"/>
    <x v="0"/>
    <x v="0"/>
    <n v="60000"/>
    <n v="4"/>
    <x v="0"/>
    <x v="0"/>
    <x v="1"/>
    <x v="2"/>
    <x v="0"/>
    <x v="2"/>
    <n v="42"/>
    <x v="0"/>
    <x v="0"/>
  </r>
  <r>
    <n v="26298"/>
    <x v="0"/>
    <x v="0"/>
    <n v="50000"/>
    <n v="1"/>
    <x v="0"/>
    <x v="0"/>
    <x v="0"/>
    <x v="0"/>
    <x v="1"/>
    <x v="2"/>
    <n v="34"/>
    <x v="0"/>
    <x v="1"/>
  </r>
  <r>
    <n v="25419"/>
    <x v="1"/>
    <x v="1"/>
    <n v="50000"/>
    <n v="2"/>
    <x v="0"/>
    <x v="0"/>
    <x v="1"/>
    <x v="1"/>
    <x v="0"/>
    <x v="2"/>
    <n v="38"/>
    <x v="0"/>
    <x v="1"/>
  </r>
  <r>
    <n v="13343"/>
    <x v="0"/>
    <x v="0"/>
    <n v="90000"/>
    <n v="5"/>
    <x v="0"/>
    <x v="4"/>
    <x v="0"/>
    <x v="2"/>
    <x v="3"/>
    <x v="2"/>
    <n v="63"/>
    <x v="1"/>
    <x v="1"/>
  </r>
  <r>
    <n v="11303"/>
    <x v="1"/>
    <x v="0"/>
    <n v="90000"/>
    <n v="4"/>
    <x v="2"/>
    <x v="2"/>
    <x v="1"/>
    <x v="4"/>
    <x v="3"/>
    <x v="2"/>
    <n v="45"/>
    <x v="0"/>
    <x v="1"/>
  </r>
  <r>
    <n v="21693"/>
    <x v="1"/>
    <x v="0"/>
    <n v="60000"/>
    <n v="0"/>
    <x v="4"/>
    <x v="0"/>
    <x v="1"/>
    <x v="0"/>
    <x v="0"/>
    <x v="2"/>
    <n v="40"/>
    <x v="0"/>
    <x v="0"/>
  </r>
  <r>
    <n v="28056"/>
    <x v="0"/>
    <x v="1"/>
    <n v="70000"/>
    <n v="2"/>
    <x v="3"/>
    <x v="0"/>
    <x v="0"/>
    <x v="2"/>
    <x v="4"/>
    <x v="2"/>
    <n v="53"/>
    <x v="0"/>
    <x v="0"/>
  </r>
  <r>
    <n v="11788"/>
    <x v="1"/>
    <x v="0"/>
    <n v="70000"/>
    <n v="1"/>
    <x v="4"/>
    <x v="2"/>
    <x v="0"/>
    <x v="0"/>
    <x v="1"/>
    <x v="2"/>
    <n v="34"/>
    <x v="0"/>
    <x v="0"/>
  </r>
  <r>
    <n v="22296"/>
    <x v="0"/>
    <x v="1"/>
    <n v="70000"/>
    <n v="0"/>
    <x v="0"/>
    <x v="2"/>
    <x v="1"/>
    <x v="1"/>
    <x v="0"/>
    <x v="2"/>
    <n v="38"/>
    <x v="0"/>
    <x v="0"/>
  </r>
  <r>
    <n v="15319"/>
    <x v="0"/>
    <x v="0"/>
    <n v="70000"/>
    <n v="4"/>
    <x v="0"/>
    <x v="4"/>
    <x v="1"/>
    <x v="1"/>
    <x v="3"/>
    <x v="2"/>
    <n v="59"/>
    <x v="1"/>
    <x v="0"/>
  </r>
  <r>
    <n v="17654"/>
    <x v="1"/>
    <x v="0"/>
    <n v="40000"/>
    <n v="3"/>
    <x v="1"/>
    <x v="1"/>
    <x v="0"/>
    <x v="1"/>
    <x v="3"/>
    <x v="2"/>
    <n v="30"/>
    <x v="2"/>
    <x v="1"/>
  </r>
  <r>
    <n v="14662"/>
    <x v="0"/>
    <x v="1"/>
    <n v="60000"/>
    <n v="1"/>
    <x v="0"/>
    <x v="2"/>
    <x v="0"/>
    <x v="1"/>
    <x v="0"/>
    <x v="2"/>
    <n v="48"/>
    <x v="0"/>
    <x v="1"/>
  </r>
  <r>
    <n v="17541"/>
    <x v="0"/>
    <x v="0"/>
    <n v="40000"/>
    <n v="4"/>
    <x v="2"/>
    <x v="0"/>
    <x v="0"/>
    <x v="2"/>
    <x v="1"/>
    <x v="2"/>
    <n v="43"/>
    <x v="0"/>
    <x v="0"/>
  </r>
  <r>
    <n v="13886"/>
    <x v="0"/>
    <x v="0"/>
    <n v="70000"/>
    <n v="4"/>
    <x v="4"/>
    <x v="2"/>
    <x v="0"/>
    <x v="0"/>
    <x v="1"/>
    <x v="2"/>
    <n v="35"/>
    <x v="0"/>
    <x v="1"/>
  </r>
  <r>
    <n v="13073"/>
    <x v="0"/>
    <x v="0"/>
    <n v="60000"/>
    <n v="0"/>
    <x v="1"/>
    <x v="2"/>
    <x v="0"/>
    <x v="2"/>
    <x v="2"/>
    <x v="2"/>
    <n v="30"/>
    <x v="2"/>
    <x v="0"/>
  </r>
  <r>
    <n v="21940"/>
    <x v="0"/>
    <x v="1"/>
    <n v="90000"/>
    <n v="5"/>
    <x v="4"/>
    <x v="2"/>
    <x v="0"/>
    <x v="0"/>
    <x v="0"/>
    <x v="2"/>
    <n v="47"/>
    <x v="0"/>
    <x v="1"/>
  </r>
  <r>
    <n v="20196"/>
    <x v="0"/>
    <x v="1"/>
    <n v="60000"/>
    <n v="1"/>
    <x v="1"/>
    <x v="0"/>
    <x v="0"/>
    <x v="1"/>
    <x v="1"/>
    <x v="2"/>
    <n v="45"/>
    <x v="0"/>
    <x v="1"/>
  </r>
  <r>
    <n v="23491"/>
    <x v="1"/>
    <x v="1"/>
    <n v="100000"/>
    <n v="0"/>
    <x v="1"/>
    <x v="2"/>
    <x v="1"/>
    <x v="3"/>
    <x v="3"/>
    <x v="2"/>
    <n v="45"/>
    <x v="0"/>
    <x v="0"/>
  </r>
  <r>
    <n v="16651"/>
    <x v="0"/>
    <x v="0"/>
    <n v="120000"/>
    <n v="2"/>
    <x v="0"/>
    <x v="4"/>
    <x v="0"/>
    <x v="4"/>
    <x v="2"/>
    <x v="2"/>
    <n v="62"/>
    <x v="1"/>
    <x v="0"/>
  </r>
  <r>
    <n v="16813"/>
    <x v="0"/>
    <x v="1"/>
    <n v="60000"/>
    <n v="2"/>
    <x v="1"/>
    <x v="2"/>
    <x v="0"/>
    <x v="2"/>
    <x v="4"/>
    <x v="2"/>
    <n v="55"/>
    <x v="1"/>
    <x v="0"/>
  </r>
  <r>
    <n v="16007"/>
    <x v="0"/>
    <x v="0"/>
    <n v="90000"/>
    <n v="5"/>
    <x v="0"/>
    <x v="4"/>
    <x v="0"/>
    <x v="2"/>
    <x v="3"/>
    <x v="2"/>
    <n v="66"/>
    <x v="1"/>
    <x v="1"/>
  </r>
  <r>
    <n v="27434"/>
    <x v="1"/>
    <x v="1"/>
    <n v="70000"/>
    <n v="4"/>
    <x v="1"/>
    <x v="2"/>
    <x v="0"/>
    <x v="1"/>
    <x v="4"/>
    <x v="2"/>
    <n v="56"/>
    <x v="1"/>
    <x v="0"/>
  </r>
  <r>
    <n v="27756"/>
    <x v="1"/>
    <x v="0"/>
    <n v="50000"/>
    <n v="3"/>
    <x v="0"/>
    <x v="0"/>
    <x v="1"/>
    <x v="1"/>
    <x v="0"/>
    <x v="2"/>
    <n v="40"/>
    <x v="0"/>
    <x v="0"/>
  </r>
  <r>
    <n v="23818"/>
    <x v="0"/>
    <x v="0"/>
    <n v="50000"/>
    <n v="0"/>
    <x v="4"/>
    <x v="0"/>
    <x v="0"/>
    <x v="0"/>
    <x v="3"/>
    <x v="2"/>
    <n v="33"/>
    <x v="0"/>
    <x v="1"/>
  </r>
  <r>
    <n v="19012"/>
    <x v="0"/>
    <x v="1"/>
    <n v="80000"/>
    <n v="3"/>
    <x v="0"/>
    <x v="4"/>
    <x v="0"/>
    <x v="1"/>
    <x v="3"/>
    <x v="2"/>
    <n v="56"/>
    <x v="1"/>
    <x v="0"/>
  </r>
  <r>
    <n v="18329"/>
    <x v="1"/>
    <x v="1"/>
    <n v="30000"/>
    <n v="0"/>
    <x v="3"/>
    <x v="1"/>
    <x v="1"/>
    <x v="2"/>
    <x v="2"/>
    <x v="2"/>
    <n v="27"/>
    <x v="2"/>
    <x v="0"/>
  </r>
  <r>
    <n v="29037"/>
    <x v="0"/>
    <x v="1"/>
    <n v="60000"/>
    <n v="0"/>
    <x v="4"/>
    <x v="2"/>
    <x v="1"/>
    <x v="0"/>
    <x v="0"/>
    <x v="2"/>
    <n v="39"/>
    <x v="0"/>
    <x v="0"/>
  </r>
  <r>
    <n v="26576"/>
    <x v="0"/>
    <x v="0"/>
    <n v="60000"/>
    <n v="0"/>
    <x v="1"/>
    <x v="0"/>
    <x v="0"/>
    <x v="2"/>
    <x v="2"/>
    <x v="2"/>
    <n v="31"/>
    <x v="0"/>
    <x v="0"/>
  </r>
  <r>
    <n v="12192"/>
    <x v="1"/>
    <x v="0"/>
    <n v="60000"/>
    <n v="2"/>
    <x v="3"/>
    <x v="0"/>
    <x v="1"/>
    <x v="2"/>
    <x v="3"/>
    <x v="2"/>
    <n v="51"/>
    <x v="0"/>
    <x v="0"/>
  </r>
  <r>
    <n v="14887"/>
    <x v="0"/>
    <x v="0"/>
    <n v="30000"/>
    <n v="1"/>
    <x v="2"/>
    <x v="1"/>
    <x v="0"/>
    <x v="1"/>
    <x v="2"/>
    <x v="2"/>
    <n v="52"/>
    <x v="0"/>
    <x v="0"/>
  </r>
  <r>
    <n v="11734"/>
    <x v="0"/>
    <x v="1"/>
    <n v="60000"/>
    <n v="1"/>
    <x v="1"/>
    <x v="0"/>
    <x v="1"/>
    <x v="1"/>
    <x v="0"/>
    <x v="2"/>
    <n v="47"/>
    <x v="0"/>
    <x v="0"/>
  </r>
  <r>
    <n v="17462"/>
    <x v="0"/>
    <x v="1"/>
    <n v="70000"/>
    <n v="3"/>
    <x v="4"/>
    <x v="4"/>
    <x v="0"/>
    <x v="2"/>
    <x v="2"/>
    <x v="2"/>
    <n v="53"/>
    <x v="0"/>
    <x v="1"/>
  </r>
  <r>
    <n v="20659"/>
    <x v="0"/>
    <x v="1"/>
    <n v="70000"/>
    <n v="3"/>
    <x v="4"/>
    <x v="2"/>
    <x v="0"/>
    <x v="0"/>
    <x v="0"/>
    <x v="2"/>
    <n v="35"/>
    <x v="0"/>
    <x v="1"/>
  </r>
  <r>
    <n v="28004"/>
    <x v="0"/>
    <x v="0"/>
    <n v="60000"/>
    <n v="3"/>
    <x v="0"/>
    <x v="4"/>
    <x v="0"/>
    <x v="2"/>
    <x v="4"/>
    <x v="2"/>
    <n v="66"/>
    <x v="1"/>
    <x v="0"/>
  </r>
  <r>
    <n v="19741"/>
    <x v="1"/>
    <x v="0"/>
    <n v="80000"/>
    <n v="4"/>
    <x v="4"/>
    <x v="4"/>
    <x v="0"/>
    <x v="2"/>
    <x v="2"/>
    <x v="2"/>
    <n v="65"/>
    <x v="1"/>
    <x v="0"/>
  </r>
  <r>
    <n v="17450"/>
    <x v="0"/>
    <x v="1"/>
    <n v="80000"/>
    <n v="5"/>
    <x v="1"/>
    <x v="2"/>
    <x v="0"/>
    <x v="4"/>
    <x v="2"/>
    <x v="2"/>
    <n v="45"/>
    <x v="0"/>
    <x v="0"/>
  </r>
  <r>
    <n v="17337"/>
    <x v="1"/>
    <x v="1"/>
    <n v="40000"/>
    <n v="0"/>
    <x v="2"/>
    <x v="0"/>
    <x v="0"/>
    <x v="1"/>
    <x v="2"/>
    <x v="2"/>
    <n v="31"/>
    <x v="0"/>
    <x v="0"/>
  </r>
  <r>
    <n v="18594"/>
    <x v="1"/>
    <x v="0"/>
    <n v="80000"/>
    <n v="3"/>
    <x v="0"/>
    <x v="0"/>
    <x v="0"/>
    <x v="4"/>
    <x v="4"/>
    <x v="2"/>
    <n v="40"/>
    <x v="0"/>
    <x v="1"/>
  </r>
  <r>
    <n v="15982"/>
    <x v="0"/>
    <x v="1"/>
    <n v="110000"/>
    <n v="5"/>
    <x v="1"/>
    <x v="2"/>
    <x v="0"/>
    <x v="3"/>
    <x v="1"/>
    <x v="2"/>
    <n v="46"/>
    <x v="0"/>
    <x v="0"/>
  </r>
  <r>
    <n v="28625"/>
    <x v="1"/>
    <x v="1"/>
    <n v="40000"/>
    <n v="2"/>
    <x v="1"/>
    <x v="1"/>
    <x v="1"/>
    <x v="1"/>
    <x v="3"/>
    <x v="2"/>
    <n v="47"/>
    <x v="0"/>
    <x v="1"/>
  </r>
  <r>
    <n v="11269"/>
    <x v="0"/>
    <x v="1"/>
    <n v="130000"/>
    <n v="2"/>
    <x v="4"/>
    <x v="4"/>
    <x v="0"/>
    <x v="2"/>
    <x v="0"/>
    <x v="2"/>
    <n v="41"/>
    <x v="0"/>
    <x v="0"/>
  </r>
  <r>
    <n v="25148"/>
    <x v="0"/>
    <x v="1"/>
    <n v="60000"/>
    <n v="2"/>
    <x v="2"/>
    <x v="2"/>
    <x v="1"/>
    <x v="2"/>
    <x v="3"/>
    <x v="2"/>
    <n v="48"/>
    <x v="0"/>
    <x v="1"/>
  </r>
  <r>
    <n v="13920"/>
    <x v="1"/>
    <x v="0"/>
    <n v="50000"/>
    <n v="4"/>
    <x v="0"/>
    <x v="0"/>
    <x v="0"/>
    <x v="2"/>
    <x v="0"/>
    <x v="2"/>
    <n v="42"/>
    <x v="0"/>
    <x v="0"/>
  </r>
  <r>
    <n v="23704"/>
    <x v="1"/>
    <x v="1"/>
    <n v="40000"/>
    <n v="5"/>
    <x v="2"/>
    <x v="2"/>
    <x v="0"/>
    <x v="3"/>
    <x v="4"/>
    <x v="2"/>
    <n v="60"/>
    <x v="1"/>
    <x v="1"/>
  </r>
  <r>
    <n v="28972"/>
    <x v="1"/>
    <x v="0"/>
    <n v="60000"/>
    <n v="3"/>
    <x v="4"/>
    <x v="4"/>
    <x v="0"/>
    <x v="2"/>
    <x v="4"/>
    <x v="2"/>
    <n v="66"/>
    <x v="1"/>
    <x v="0"/>
  </r>
  <r>
    <n v="22730"/>
    <x v="0"/>
    <x v="1"/>
    <n v="70000"/>
    <n v="5"/>
    <x v="0"/>
    <x v="4"/>
    <x v="0"/>
    <x v="2"/>
    <x v="4"/>
    <x v="2"/>
    <n v="63"/>
    <x v="1"/>
    <x v="0"/>
  </r>
  <r>
    <n v="29134"/>
    <x v="0"/>
    <x v="1"/>
    <n v="60000"/>
    <n v="4"/>
    <x v="0"/>
    <x v="0"/>
    <x v="1"/>
    <x v="4"/>
    <x v="4"/>
    <x v="2"/>
    <n v="42"/>
    <x v="0"/>
    <x v="0"/>
  </r>
  <r>
    <n v="14332"/>
    <x v="1"/>
    <x v="0"/>
    <n v="30000"/>
    <n v="0"/>
    <x v="2"/>
    <x v="0"/>
    <x v="1"/>
    <x v="2"/>
    <x v="2"/>
    <x v="2"/>
    <n v="26"/>
    <x v="2"/>
    <x v="0"/>
  </r>
  <r>
    <n v="19117"/>
    <x v="1"/>
    <x v="0"/>
    <n v="60000"/>
    <n v="1"/>
    <x v="4"/>
    <x v="2"/>
    <x v="0"/>
    <x v="0"/>
    <x v="1"/>
    <x v="2"/>
    <n v="36"/>
    <x v="0"/>
    <x v="1"/>
  </r>
  <r>
    <n v="22864"/>
    <x v="0"/>
    <x v="1"/>
    <n v="90000"/>
    <n v="2"/>
    <x v="1"/>
    <x v="2"/>
    <x v="1"/>
    <x v="0"/>
    <x v="2"/>
    <x v="2"/>
    <n v="49"/>
    <x v="0"/>
    <x v="1"/>
  </r>
  <r>
    <n v="11292"/>
    <x v="1"/>
    <x v="1"/>
    <n v="150000"/>
    <n v="1"/>
    <x v="1"/>
    <x v="2"/>
    <x v="1"/>
    <x v="4"/>
    <x v="0"/>
    <x v="2"/>
    <n v="44"/>
    <x v="0"/>
    <x v="1"/>
  </r>
  <r>
    <n v="13466"/>
    <x v="0"/>
    <x v="1"/>
    <n v="80000"/>
    <n v="5"/>
    <x v="1"/>
    <x v="2"/>
    <x v="0"/>
    <x v="4"/>
    <x v="3"/>
    <x v="2"/>
    <n v="46"/>
    <x v="0"/>
    <x v="0"/>
  </r>
  <r>
    <n v="23731"/>
    <x v="0"/>
    <x v="1"/>
    <n v="60000"/>
    <n v="2"/>
    <x v="2"/>
    <x v="2"/>
    <x v="0"/>
    <x v="2"/>
    <x v="1"/>
    <x v="2"/>
    <n v="54"/>
    <x v="0"/>
    <x v="1"/>
  </r>
  <r>
    <n v="28672"/>
    <x v="1"/>
    <x v="1"/>
    <n v="70000"/>
    <n v="4"/>
    <x v="4"/>
    <x v="2"/>
    <x v="0"/>
    <x v="0"/>
    <x v="1"/>
    <x v="2"/>
    <n v="35"/>
    <x v="0"/>
    <x v="1"/>
  </r>
  <r>
    <n v="11809"/>
    <x v="0"/>
    <x v="1"/>
    <n v="60000"/>
    <n v="2"/>
    <x v="0"/>
    <x v="0"/>
    <x v="0"/>
    <x v="0"/>
    <x v="0"/>
    <x v="2"/>
    <n v="38"/>
    <x v="0"/>
    <x v="1"/>
  </r>
  <r>
    <n v="19664"/>
    <x v="1"/>
    <x v="1"/>
    <n v="100000"/>
    <n v="3"/>
    <x v="0"/>
    <x v="4"/>
    <x v="1"/>
    <x v="4"/>
    <x v="3"/>
    <x v="2"/>
    <n v="38"/>
    <x v="0"/>
    <x v="0"/>
  </r>
  <r>
    <n v="12121"/>
    <x v="1"/>
    <x v="1"/>
    <n v="60000"/>
    <n v="3"/>
    <x v="2"/>
    <x v="2"/>
    <x v="0"/>
    <x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F57F9-134D-4583-B46F-A2C0D879D97D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166:B169" firstHeaderRow="1" firstDataRow="1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uenta de Purchased Bike" fld="13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F3813-D13F-437E-80D8-474EE77190BA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96:B99" firstHeaderRow="1" firstDataRow="1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 sortType="ascending">
      <items count="10">
        <item x="2"/>
        <item m="1" x="6"/>
        <item x="0"/>
        <item m="1" x="3"/>
        <item m="1" x="4"/>
        <item x="1"/>
        <item m="1" x="5"/>
        <item m="1" x="8"/>
        <item m="1" x="7"/>
        <item t="default"/>
      </items>
    </pivotField>
    <pivotField axis="axisRow" dataField="1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uenta de Purchased Bike" fld="13" subtotal="count" showDataAs="percentOfTotal" baseField="10" baseItem="0" numFmtId="10"/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F920D-706C-4DFF-8668-A5ABAE459455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141:D148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showDataAs="percentOfTotal" baseField="6" baseItem="0" numFmtId="10"/>
  </dataFields>
  <chartFormats count="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195EE-861E-43C9-BF26-5B661D261A05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71:D7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 sortType="ascending">
      <items count="10">
        <item x="2"/>
        <item m="1" x="6"/>
        <item x="0"/>
        <item m="1" x="3"/>
        <item m="1" x="4"/>
        <item x="1"/>
        <item m="1" x="5"/>
        <item m="1" x="8"/>
        <item m="1" x="7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showDataAs="percentOfTotal" baseField="10" baseItem="0" numFmtId="1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C1EC7-7FF3-46E0-A32D-9C93BEBB1BFB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5:D32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65C78-FAC8-45FE-BC2F-E22437CFB940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16:D123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axis="axisRow" showAll="0">
      <items count="6">
        <item x="1"/>
        <item x="4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showDataAs="percentOfTotal" baseField="6" baseItem="0" numFmtId="1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DA09B-17A2-4D7B-AFEE-3FE995A6B34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romedio de Income" fld="3" subtotal="average" baseField="2" baseItem="0"/>
  </dataFields>
  <formats count="2">
    <format dxfId="3">
      <pivotArea collapsedLevelsAreSubtotals="1" fieldPosition="0">
        <references count="1">
          <reference field="2" count="0"/>
        </references>
      </pivotArea>
    </format>
    <format dxfId="2">
      <pivotArea grandRow="1"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51040-25C7-4BB8-A0D8-B2F98BA91035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9:D54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 sortType="ascending">
      <items count="10">
        <item x="2"/>
        <item m="1" x="6"/>
        <item x="0"/>
        <item m="1" x="3"/>
        <item m="1" x="4"/>
        <item x="1"/>
        <item m="1" x="5"/>
        <item m="1" x="8"/>
        <item m="1" x="7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ital_Status" xr10:uid="{43BA21E6-9B28-46EA-845B-CADF90E02D97}" sourceName="Marital Status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data>
    <tabular pivotCacheId="1510196539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ucation" xr10:uid="{E6A7565D-3D35-4D07-9A7B-FB2BFA7B8C18}" sourceName="Education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data>
    <tabular pivotCacheId="1510196539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40A1C1D6-14A8-4AD7-9A25-8403D0EEA7F8}" sourceName="Region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data>
    <tabular pivotCacheId="151019653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me_Owner" xr10:uid="{19E162B9-58DB-4293-A88B-523D02733B94}" sourceName="Home Owner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data>
    <tabular pivotCacheId="1510196539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s" xr10:uid="{3A8F8E5E-716D-4B75-B1F2-487AB52F2EBF}" sourceName="Cars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data>
    <tabular pivotCacheId="1510196539">
      <items count="5">
        <i x="0" s="1"/>
        <i x="1" s="1"/>
        <i x="2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549F63DF-7B50-404B-9D75-FB60C2F35EDF}" cache="SegmentaciónDeDatos_Marital_Status" caption="Marital Status" style="SlicerStyleDark3" rowHeight="241300"/>
  <slicer name="Education" xr10:uid="{970E4342-00F0-41B4-BD1C-A0871B808C0C}" cache="SegmentaciónDeDatos_Education" caption="Education" style="SlicerStyleOther1" rowHeight="241300"/>
  <slicer name="Region" xr10:uid="{1BCB0875-3CAE-4BC8-B1E0-0E33B562A03C}" cache="SegmentaciónDeDatos_Region" caption="Region" style="SlicerStyleOther1" rowHeight="241300"/>
  <slicer name="Home Owner" xr10:uid="{39526EBA-4D59-42A9-BE7C-8640936637E1}" cache="SegmentaciónDeDatos_Home_Owner" caption="Home Owner" style="SlicerStyleOther1" rowHeight="241300"/>
  <slicer name="Cars" xr10:uid="{FEF6AE1A-9FEE-4CD1-8E94-FEC0A25A62F1}" cache="SegmentaciónDeDatos_Cars" caption="Cars" style="SlicerStyleOther1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B3" sqref="B3"/>
    </sheetView>
  </sheetViews>
  <sheetFormatPr baseColWidth="10"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8D81-F2EF-4519-8084-F31832370216}">
  <dimension ref="A1:N1027"/>
  <sheetViews>
    <sheetView workbookViewId="0">
      <selection activeCell="J20" sqref="J20"/>
    </sheetView>
  </sheetViews>
  <sheetFormatPr baseColWidth="10" defaultColWidth="11.85546875" defaultRowHeight="15" x14ac:dyDescent="0.25"/>
  <cols>
    <col min="2" max="2" width="11.85546875" customWidth="1"/>
    <col min="6" max="6" width="17.5703125" bestFit="1" customWidth="1"/>
    <col min="7" max="7" width="14" bestFit="1" customWidth="1"/>
    <col min="8" max="8" width="15" bestFit="1" customWidth="1"/>
    <col min="10" max="10" width="20.140625" bestFit="1" customWidth="1"/>
    <col min="13" max="13" width="19.85546875" bestFit="1" customWidth="1"/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 "Old",IF(L2&gt;=31, "Middle Age", IF(L2&lt;31, "Adolescent", 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 "Old",IF(L3&gt;=31, "Middle Age", IF(L3&lt;31, "Adolescent", 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 "Old",IF(L67&gt;=31, "Middle Age", IF(L67&lt;31, "Adolescent", 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 "Old",IF(L131&gt;=31, "Middle Age", IF(L131&lt;31, "Adolescent", 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 "Old",IF(L195&gt;=31, "Middle Age", IF(L195&lt;31, "Adolescent", 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 "Old",IF(L259&gt;=31, "Middle Age", IF(L259&lt;31, "Adolescent", 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 "Old",IF(L323&gt;=31, "Middle Age", IF(L323&lt;31, "Adolescent", 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 "Old",IF(L387&gt;=31, "Middle Age", IF(L387&lt;31, "Adolescent", 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 "Old",IF(L451&gt;=31, "Middle Age", IF(L451&lt;31, "Adolescent", 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 "Old",IF(L515&gt;=31, "Middle Age", IF(L515&lt;31, "Adolescent", 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 "Old",IF(L579&gt;=31, "Middle Age", IF(L579&lt;31, "Adolescent", 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 "Old",IF(L643&gt;=31, "Middle Age", IF(L643&lt;31, "Adolescent", 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 "Old",IF(L707&gt;=31, "Middle Age", IF(L707&lt;31, "Adolescent", 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 "Old",IF(L771&gt;=31, "Middle Age", IF(L771&lt;31, "Adolescent", 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 "Old",IF(L835&gt;=31, "Middle Age", IF(L835&lt;31, "Adolescent", 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 "Old",IF(L899&gt;=31, "Middle Age", IF(L899&lt;31, "Adolescent", 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26" si="15">IF(L963&gt;54, "Old",IF(L963&gt;=31, "Middle Age", IF(L963&lt;31, "Adolescent", 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  <row r="1002" spans="1:14" x14ac:dyDescent="0.25">
      <c r="M1002" t="str">
        <f t="shared" si="15"/>
        <v>Adolescent</v>
      </c>
    </row>
    <row r="1003" spans="1:14" x14ac:dyDescent="0.25">
      <c r="M1003" t="str">
        <f t="shared" si="15"/>
        <v>Adolescent</v>
      </c>
    </row>
    <row r="1004" spans="1:14" x14ac:dyDescent="0.25">
      <c r="M1004" t="str">
        <f t="shared" si="15"/>
        <v>Adolescent</v>
      </c>
    </row>
    <row r="1005" spans="1:14" x14ac:dyDescent="0.25">
      <c r="M1005" t="str">
        <f t="shared" si="15"/>
        <v>Adolescent</v>
      </c>
    </row>
    <row r="1006" spans="1:14" x14ac:dyDescent="0.25">
      <c r="M1006" t="str">
        <f t="shared" si="15"/>
        <v>Adolescent</v>
      </c>
    </row>
    <row r="1007" spans="1:14" x14ac:dyDescent="0.25">
      <c r="M1007" t="str">
        <f t="shared" si="15"/>
        <v>Adolescent</v>
      </c>
    </row>
    <row r="1008" spans="1:14" x14ac:dyDescent="0.25">
      <c r="M1008" t="str">
        <f t="shared" si="15"/>
        <v>Adolescent</v>
      </c>
    </row>
    <row r="1009" spans="13:13" x14ac:dyDescent="0.25">
      <c r="M1009" t="str">
        <f t="shared" si="15"/>
        <v>Adolescent</v>
      </c>
    </row>
    <row r="1010" spans="13:13" x14ac:dyDescent="0.25">
      <c r="M1010" t="str">
        <f t="shared" si="15"/>
        <v>Adolescent</v>
      </c>
    </row>
    <row r="1011" spans="13:13" x14ac:dyDescent="0.25">
      <c r="M1011" t="str">
        <f t="shared" si="15"/>
        <v>Adolescent</v>
      </c>
    </row>
    <row r="1012" spans="13:13" x14ac:dyDescent="0.25">
      <c r="M1012" t="str">
        <f t="shared" si="15"/>
        <v>Adolescent</v>
      </c>
    </row>
    <row r="1013" spans="13:13" x14ac:dyDescent="0.25">
      <c r="M1013" t="str">
        <f t="shared" si="15"/>
        <v>Adolescent</v>
      </c>
    </row>
    <row r="1014" spans="13:13" x14ac:dyDescent="0.25">
      <c r="M1014" t="str">
        <f t="shared" si="15"/>
        <v>Adolescent</v>
      </c>
    </row>
    <row r="1015" spans="13:13" x14ac:dyDescent="0.25">
      <c r="M1015" t="str">
        <f t="shared" si="15"/>
        <v>Adolescent</v>
      </c>
    </row>
    <row r="1016" spans="13:13" x14ac:dyDescent="0.25">
      <c r="M1016" t="str">
        <f t="shared" si="15"/>
        <v>Adolescent</v>
      </c>
    </row>
    <row r="1017" spans="13:13" x14ac:dyDescent="0.25">
      <c r="M1017" t="str">
        <f t="shared" si="15"/>
        <v>Adolescent</v>
      </c>
    </row>
    <row r="1018" spans="13:13" x14ac:dyDescent="0.25">
      <c r="M1018" t="str">
        <f t="shared" si="15"/>
        <v>Adolescent</v>
      </c>
    </row>
    <row r="1019" spans="13:13" x14ac:dyDescent="0.25">
      <c r="M1019" t="str">
        <f t="shared" si="15"/>
        <v>Adolescent</v>
      </c>
    </row>
    <row r="1020" spans="13:13" x14ac:dyDescent="0.25">
      <c r="M1020" t="str">
        <f t="shared" si="15"/>
        <v>Adolescent</v>
      </c>
    </row>
    <row r="1021" spans="13:13" x14ac:dyDescent="0.25">
      <c r="M1021" t="str">
        <f t="shared" si="15"/>
        <v>Adolescent</v>
      </c>
    </row>
    <row r="1022" spans="13:13" x14ac:dyDescent="0.25">
      <c r="M1022" t="str">
        <f t="shared" si="15"/>
        <v>Adolescent</v>
      </c>
    </row>
    <row r="1023" spans="13:13" x14ac:dyDescent="0.25">
      <c r="M1023" t="str">
        <f t="shared" si="15"/>
        <v>Adolescent</v>
      </c>
    </row>
    <row r="1024" spans="13:13" x14ac:dyDescent="0.25">
      <c r="M1024" t="str">
        <f t="shared" si="15"/>
        <v>Adolescent</v>
      </c>
    </row>
    <row r="1025" spans="13:13" x14ac:dyDescent="0.25">
      <c r="M1025" t="str">
        <f t="shared" si="15"/>
        <v>Adolescent</v>
      </c>
    </row>
    <row r="1026" spans="13:13" x14ac:dyDescent="0.25">
      <c r="M1026" t="str">
        <f t="shared" si="15"/>
        <v>Adolescent</v>
      </c>
    </row>
    <row r="1027" spans="13:13" x14ac:dyDescent="0.25">
      <c r="M1027" t="str">
        <f t="shared" ref="M1027" si="16">IF(L1027&gt;54, "Old",IF(L1027&gt;=31, "Middle Age", IF(L1027&lt;31, "Adolescent", "Invalid")))</f>
        <v>Adolescent</v>
      </c>
    </row>
  </sheetData>
  <autoFilter ref="A1:N1027" xr:uid="{04588D81-F2EF-4519-8084-F31832370216}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3DD7-F854-487B-84DA-52FE152C0AEC}">
  <dimension ref="A3:D169"/>
  <sheetViews>
    <sheetView topLeftCell="A142" zoomScale="85" zoomScaleNormal="85" workbookViewId="0">
      <selection activeCell="A173" sqref="A173"/>
    </sheetView>
  </sheetViews>
  <sheetFormatPr baseColWidth="10" defaultRowHeight="15" x14ac:dyDescent="0.25"/>
  <cols>
    <col min="1" max="1" width="17.5703125" bestFit="1" customWidth="1"/>
    <col min="2" max="2" width="24.140625" bestFit="1" customWidth="1"/>
    <col min="3" max="3" width="7.140625" bestFit="1" customWidth="1"/>
    <col min="4" max="4" width="12.5703125" bestFit="1" customWidth="1"/>
  </cols>
  <sheetData>
    <row r="3" spans="1:4" x14ac:dyDescent="0.25">
      <c r="A3" s="5" t="s">
        <v>43</v>
      </c>
      <c r="B3" s="5" t="s">
        <v>44</v>
      </c>
    </row>
    <row r="4" spans="1:4" x14ac:dyDescent="0.25">
      <c r="A4" s="5" t="s">
        <v>41</v>
      </c>
      <c r="B4" t="s">
        <v>18</v>
      </c>
      <c r="C4" t="s">
        <v>15</v>
      </c>
      <c r="D4" t="s">
        <v>42</v>
      </c>
    </row>
    <row r="5" spans="1:4" x14ac:dyDescent="0.25">
      <c r="A5" s="6" t="s">
        <v>38</v>
      </c>
      <c r="B5" s="3">
        <v>53440</v>
      </c>
      <c r="C5" s="3">
        <v>55774.058577405856</v>
      </c>
      <c r="D5" s="3">
        <v>54580.777096114522</v>
      </c>
    </row>
    <row r="6" spans="1:4" x14ac:dyDescent="0.25">
      <c r="A6" s="6" t="s">
        <v>39</v>
      </c>
      <c r="B6" s="3">
        <v>56208.178438661707</v>
      </c>
      <c r="C6" s="3">
        <v>60123.966942148763</v>
      </c>
      <c r="D6" s="3">
        <v>58062.62230919765</v>
      </c>
    </row>
    <row r="7" spans="1:4" x14ac:dyDescent="0.25">
      <c r="A7" s="6" t="s">
        <v>42</v>
      </c>
      <c r="B7" s="3">
        <v>54874.759152215796</v>
      </c>
      <c r="C7" s="3">
        <v>57962.577962577961</v>
      </c>
      <c r="D7" s="3">
        <v>56360</v>
      </c>
    </row>
    <row r="25" spans="1:4" x14ac:dyDescent="0.25">
      <c r="A25" s="5" t="s">
        <v>45</v>
      </c>
      <c r="B25" s="5" t="s">
        <v>44</v>
      </c>
    </row>
    <row r="26" spans="1:4" x14ac:dyDescent="0.25">
      <c r="A26" s="5" t="s">
        <v>41</v>
      </c>
      <c r="B26" t="s">
        <v>18</v>
      </c>
      <c r="C26" t="s">
        <v>15</v>
      </c>
      <c r="D26" t="s">
        <v>42</v>
      </c>
    </row>
    <row r="27" spans="1:4" x14ac:dyDescent="0.25">
      <c r="A27" s="6" t="s">
        <v>16</v>
      </c>
      <c r="B27" s="4">
        <v>166</v>
      </c>
      <c r="C27" s="4">
        <v>200</v>
      </c>
      <c r="D27" s="4">
        <v>366</v>
      </c>
    </row>
    <row r="28" spans="1:4" x14ac:dyDescent="0.25">
      <c r="A28" s="6" t="s">
        <v>26</v>
      </c>
      <c r="B28" s="4">
        <v>92</v>
      </c>
      <c r="C28" s="4">
        <v>77</v>
      </c>
      <c r="D28" s="4">
        <v>169</v>
      </c>
    </row>
    <row r="29" spans="1:4" x14ac:dyDescent="0.25">
      <c r="A29" s="6" t="s">
        <v>22</v>
      </c>
      <c r="B29" s="4">
        <v>67</v>
      </c>
      <c r="C29" s="4">
        <v>95</v>
      </c>
      <c r="D29" s="4">
        <v>162</v>
      </c>
    </row>
    <row r="30" spans="1:4" x14ac:dyDescent="0.25">
      <c r="A30" s="6" t="s">
        <v>23</v>
      </c>
      <c r="B30" s="4">
        <v>116</v>
      </c>
      <c r="C30" s="4">
        <v>76</v>
      </c>
      <c r="D30" s="4">
        <v>192</v>
      </c>
    </row>
    <row r="31" spans="1:4" x14ac:dyDescent="0.25">
      <c r="A31" s="6" t="s">
        <v>46</v>
      </c>
      <c r="B31" s="4">
        <v>78</v>
      </c>
      <c r="C31" s="4">
        <v>33</v>
      </c>
      <c r="D31" s="4">
        <v>111</v>
      </c>
    </row>
    <row r="32" spans="1:4" x14ac:dyDescent="0.25">
      <c r="A32" s="6" t="s">
        <v>42</v>
      </c>
      <c r="B32" s="4">
        <v>519</v>
      </c>
      <c r="C32" s="4">
        <v>481</v>
      </c>
      <c r="D32" s="4">
        <v>1000</v>
      </c>
    </row>
    <row r="49" spans="1:4" x14ac:dyDescent="0.25">
      <c r="A49" s="5" t="s">
        <v>45</v>
      </c>
      <c r="B49" s="5" t="s">
        <v>44</v>
      </c>
    </row>
    <row r="50" spans="1:4" x14ac:dyDescent="0.25">
      <c r="A50" s="5" t="s">
        <v>41</v>
      </c>
      <c r="B50" t="s">
        <v>18</v>
      </c>
      <c r="C50" t="s">
        <v>15</v>
      </c>
      <c r="D50" t="s">
        <v>42</v>
      </c>
    </row>
    <row r="51" spans="1:4" x14ac:dyDescent="0.25">
      <c r="A51" s="6" t="s">
        <v>48</v>
      </c>
      <c r="B51" s="4">
        <v>71</v>
      </c>
      <c r="C51" s="4">
        <v>39</v>
      </c>
      <c r="D51" s="4">
        <v>110</v>
      </c>
    </row>
    <row r="52" spans="1:4" x14ac:dyDescent="0.25">
      <c r="A52" s="6" t="s">
        <v>49</v>
      </c>
      <c r="B52" s="4">
        <v>318</v>
      </c>
      <c r="C52" s="4">
        <v>383</v>
      </c>
      <c r="D52" s="4">
        <v>701</v>
      </c>
    </row>
    <row r="53" spans="1:4" x14ac:dyDescent="0.25">
      <c r="A53" s="6" t="s">
        <v>47</v>
      </c>
      <c r="B53" s="4">
        <v>130</v>
      </c>
      <c r="C53" s="4">
        <v>59</v>
      </c>
      <c r="D53" s="4">
        <v>189</v>
      </c>
    </row>
    <row r="54" spans="1:4" x14ac:dyDescent="0.25">
      <c r="A54" s="6" t="s">
        <v>42</v>
      </c>
      <c r="B54" s="4">
        <v>519</v>
      </c>
      <c r="C54" s="4">
        <v>481</v>
      </c>
      <c r="D54" s="4">
        <v>1000</v>
      </c>
    </row>
    <row r="71" spans="1:4" x14ac:dyDescent="0.25">
      <c r="A71" s="5" t="s">
        <v>45</v>
      </c>
      <c r="B71" s="5" t="s">
        <v>44</v>
      </c>
    </row>
    <row r="72" spans="1:4" x14ac:dyDescent="0.25">
      <c r="A72" s="5" t="s">
        <v>41</v>
      </c>
      <c r="B72" t="s">
        <v>18</v>
      </c>
      <c r="C72" t="s">
        <v>15</v>
      </c>
      <c r="D72" t="s">
        <v>42</v>
      </c>
    </row>
    <row r="73" spans="1:4" x14ac:dyDescent="0.25">
      <c r="A73" s="6" t="s">
        <v>17</v>
      </c>
      <c r="B73" s="7">
        <v>0.152</v>
      </c>
      <c r="C73" s="7">
        <v>0.14799999999999999</v>
      </c>
      <c r="D73" s="7">
        <v>0.3</v>
      </c>
    </row>
    <row r="74" spans="1:4" x14ac:dyDescent="0.25">
      <c r="A74" s="6" t="s">
        <v>32</v>
      </c>
      <c r="B74" s="7">
        <v>0.28799999999999998</v>
      </c>
      <c r="C74" s="7">
        <v>0.22</v>
      </c>
      <c r="D74" s="7">
        <v>0.50800000000000001</v>
      </c>
    </row>
    <row r="75" spans="1:4" x14ac:dyDescent="0.25">
      <c r="A75" s="6" t="s">
        <v>24</v>
      </c>
      <c r="B75" s="7">
        <v>7.9000000000000001E-2</v>
      </c>
      <c r="C75" s="7">
        <v>0.113</v>
      </c>
      <c r="D75" s="7">
        <v>0.192</v>
      </c>
    </row>
    <row r="76" spans="1:4" x14ac:dyDescent="0.25">
      <c r="A76" s="6" t="s">
        <v>42</v>
      </c>
      <c r="B76" s="7">
        <v>0.51900000000000002</v>
      </c>
      <c r="C76" s="7">
        <v>0.48099999999999998</v>
      </c>
      <c r="D76" s="7">
        <v>1</v>
      </c>
    </row>
    <row r="96" spans="1:2" x14ac:dyDescent="0.25">
      <c r="A96" s="5" t="s">
        <v>41</v>
      </c>
      <c r="B96" t="s">
        <v>45</v>
      </c>
    </row>
    <row r="97" spans="1:2" x14ac:dyDescent="0.25">
      <c r="A97" s="6" t="s">
        <v>18</v>
      </c>
      <c r="B97" s="7">
        <v>0.51900000000000002</v>
      </c>
    </row>
    <row r="98" spans="1:2" x14ac:dyDescent="0.25">
      <c r="A98" s="6" t="s">
        <v>15</v>
      </c>
      <c r="B98" s="7">
        <v>0.48099999999999998</v>
      </c>
    </row>
    <row r="99" spans="1:2" x14ac:dyDescent="0.25">
      <c r="A99" s="6" t="s">
        <v>42</v>
      </c>
      <c r="B99" s="7">
        <v>1</v>
      </c>
    </row>
    <row r="116" spans="1:4" x14ac:dyDescent="0.25">
      <c r="A116" s="5" t="s">
        <v>45</v>
      </c>
      <c r="B116" s="5" t="s">
        <v>44</v>
      </c>
    </row>
    <row r="117" spans="1:4" x14ac:dyDescent="0.25">
      <c r="A117" s="5" t="s">
        <v>41</v>
      </c>
      <c r="B117" t="s">
        <v>18</v>
      </c>
      <c r="C117" t="s">
        <v>15</v>
      </c>
      <c r="D117" t="s">
        <v>42</v>
      </c>
    </row>
    <row r="118" spans="1:4" x14ac:dyDescent="0.25">
      <c r="A118" s="6" t="s">
        <v>20</v>
      </c>
      <c r="B118" s="7">
        <v>8.8999999999999996E-2</v>
      </c>
      <c r="C118" s="7">
        <v>8.7999999999999995E-2</v>
      </c>
      <c r="D118" s="7">
        <v>0.17699999999999999</v>
      </c>
    </row>
    <row r="119" spans="1:4" x14ac:dyDescent="0.25">
      <c r="A119" s="6" t="s">
        <v>28</v>
      </c>
      <c r="B119" s="7">
        <v>0.1</v>
      </c>
      <c r="C119" s="7">
        <v>7.2999999999999995E-2</v>
      </c>
      <c r="D119" s="7">
        <v>0.17299999999999999</v>
      </c>
    </row>
    <row r="120" spans="1:4" x14ac:dyDescent="0.25">
      <c r="A120" s="6" t="s">
        <v>25</v>
      </c>
      <c r="B120" s="7">
        <v>6.4000000000000001E-2</v>
      </c>
      <c r="C120" s="7">
        <v>5.5E-2</v>
      </c>
      <c r="D120" s="7">
        <v>0.11899999999999999</v>
      </c>
    </row>
    <row r="121" spans="1:4" x14ac:dyDescent="0.25">
      <c r="A121" s="6" t="s">
        <v>21</v>
      </c>
      <c r="B121" s="7">
        <v>0.126</v>
      </c>
      <c r="C121" s="7">
        <v>0.15</v>
      </c>
      <c r="D121" s="7">
        <v>0.27600000000000002</v>
      </c>
    </row>
    <row r="122" spans="1:4" x14ac:dyDescent="0.25">
      <c r="A122" s="6" t="s">
        <v>14</v>
      </c>
      <c r="B122" s="7">
        <v>0.14000000000000001</v>
      </c>
      <c r="C122" s="7">
        <v>0.115</v>
      </c>
      <c r="D122" s="7">
        <v>0.255</v>
      </c>
    </row>
    <row r="123" spans="1:4" x14ac:dyDescent="0.25">
      <c r="A123" s="6" t="s">
        <v>42</v>
      </c>
      <c r="B123" s="7">
        <v>0.51900000000000002</v>
      </c>
      <c r="C123" s="7">
        <v>0.48099999999999998</v>
      </c>
      <c r="D123" s="7">
        <v>1</v>
      </c>
    </row>
    <row r="141" spans="1:4" x14ac:dyDescent="0.25">
      <c r="A141" s="5" t="s">
        <v>45</v>
      </c>
      <c r="B141" s="5" t="s">
        <v>44</v>
      </c>
    </row>
    <row r="142" spans="1:4" x14ac:dyDescent="0.25">
      <c r="A142" s="5" t="s">
        <v>41</v>
      </c>
      <c r="B142" t="s">
        <v>18</v>
      </c>
      <c r="C142" t="s">
        <v>15</v>
      </c>
      <c r="D142" t="s">
        <v>42</v>
      </c>
    </row>
    <row r="143" spans="1:4" x14ac:dyDescent="0.25">
      <c r="A143" s="6" t="s">
        <v>13</v>
      </c>
      <c r="B143" s="7">
        <v>0.13700000000000001</v>
      </c>
      <c r="C143" s="7">
        <v>0.16900000000000001</v>
      </c>
      <c r="D143" s="7">
        <v>0.30599999999999999</v>
      </c>
    </row>
    <row r="144" spans="1:4" x14ac:dyDescent="0.25">
      <c r="A144" s="6" t="s">
        <v>31</v>
      </c>
      <c r="B144" s="7">
        <v>0.08</v>
      </c>
      <c r="C144" s="7">
        <v>9.4E-2</v>
      </c>
      <c r="D144" s="7">
        <v>0.17399999999999999</v>
      </c>
    </row>
    <row r="145" spans="1:4" x14ac:dyDescent="0.25">
      <c r="A145" s="6" t="s">
        <v>27</v>
      </c>
      <c r="B145" s="7">
        <v>0.1</v>
      </c>
      <c r="C145" s="7">
        <v>7.9000000000000001E-2</v>
      </c>
      <c r="D145" s="7">
        <v>0.17899999999999999</v>
      </c>
    </row>
    <row r="146" spans="1:4" x14ac:dyDescent="0.25">
      <c r="A146" s="6" t="s">
        <v>19</v>
      </c>
      <c r="B146" s="7">
        <v>0.14599999999999999</v>
      </c>
      <c r="C146" s="7">
        <v>0.11899999999999999</v>
      </c>
      <c r="D146" s="7">
        <v>0.26500000000000001</v>
      </c>
    </row>
    <row r="147" spans="1:4" x14ac:dyDescent="0.25">
      <c r="A147" s="6" t="s">
        <v>29</v>
      </c>
      <c r="B147" s="7">
        <v>5.6000000000000001E-2</v>
      </c>
      <c r="C147" s="7">
        <v>0.02</v>
      </c>
      <c r="D147" s="7">
        <v>7.5999999999999998E-2</v>
      </c>
    </row>
    <row r="148" spans="1:4" x14ac:dyDescent="0.25">
      <c r="A148" s="6" t="s">
        <v>42</v>
      </c>
      <c r="B148" s="7">
        <v>0.51900000000000002</v>
      </c>
      <c r="C148" s="7">
        <v>0.48099999999999998</v>
      </c>
      <c r="D148" s="7">
        <v>1</v>
      </c>
    </row>
    <row r="166" spans="1:2" x14ac:dyDescent="0.25">
      <c r="A166" s="5" t="s">
        <v>41</v>
      </c>
      <c r="B166" t="s">
        <v>45</v>
      </c>
    </row>
    <row r="167" spans="1:2" x14ac:dyDescent="0.25">
      <c r="A167" s="6" t="s">
        <v>18</v>
      </c>
      <c r="B167" s="4">
        <v>519</v>
      </c>
    </row>
    <row r="168" spans="1:2" x14ac:dyDescent="0.25">
      <c r="A168" s="6" t="s">
        <v>15</v>
      </c>
      <c r="B168" s="4">
        <v>481</v>
      </c>
    </row>
    <row r="169" spans="1:2" x14ac:dyDescent="0.25">
      <c r="A169" s="6" t="s">
        <v>42</v>
      </c>
      <c r="B169" s="4">
        <v>1000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CB6F-309E-4E46-90AB-942A07549F5F}">
  <dimension ref="A1:X60"/>
  <sheetViews>
    <sheetView showGridLines="0" tabSelected="1" zoomScale="80" zoomScaleNormal="80" workbookViewId="0">
      <selection activeCell="AA28" sqref="AA28"/>
    </sheetView>
  </sheetViews>
  <sheetFormatPr baseColWidth="10" defaultRowHeight="15" x14ac:dyDescent="0.25"/>
  <cols>
    <col min="3" max="3" width="11.42578125" customWidth="1"/>
    <col min="23" max="23" width="2.42578125" customWidth="1"/>
  </cols>
  <sheetData>
    <row r="1" spans="1:24" ht="15" customHeight="1" x14ac:dyDescent="0.25">
      <c r="A1" s="10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8"/>
    </row>
    <row r="2" spans="1:24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8"/>
    </row>
    <row r="3" spans="1:24" ht="1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8"/>
    </row>
    <row r="4" spans="1:24" ht="1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4" ht="1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8"/>
    </row>
    <row r="6" spans="1:24" ht="1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8"/>
    </row>
    <row r="7" spans="1:2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8"/>
    </row>
    <row r="8" spans="1:2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8"/>
    </row>
    <row r="9" spans="1:2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8"/>
    </row>
    <row r="10" spans="1:2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8"/>
    </row>
    <row r="1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8"/>
    </row>
    <row r="12" spans="1:2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8"/>
    </row>
    <row r="13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8"/>
    </row>
    <row r="14" spans="1:2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8"/>
    </row>
    <row r="15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8"/>
    </row>
    <row r="16" spans="1:2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8"/>
    </row>
    <row r="17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8"/>
    </row>
    <row r="18" spans="1:2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</row>
    <row r="19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8"/>
    </row>
    <row r="20" spans="1:2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8"/>
    </row>
    <row r="21" spans="1:2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8"/>
    </row>
    <row r="22" spans="1:2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8"/>
    </row>
    <row r="23" spans="1:2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8"/>
    </row>
    <row r="24" spans="1:2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8"/>
    </row>
    <row r="25" spans="1:2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8"/>
    </row>
    <row r="26" spans="1:24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</row>
    <row r="27" spans="1:2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8"/>
    </row>
    <row r="28" spans="1:24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8"/>
    </row>
    <row r="29" spans="1:2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8"/>
    </row>
    <row r="30" spans="1:24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8"/>
    </row>
    <row r="31" spans="1:24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8"/>
    </row>
    <row r="32" spans="1:24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8"/>
    </row>
    <row r="33" spans="1:2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8"/>
    </row>
    <row r="34" spans="1:24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</row>
    <row r="35" spans="1:24" x14ac:dyDescent="0.25">
      <c r="A35" s="9"/>
      <c r="B35" s="9" t="s">
        <v>51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8"/>
    </row>
    <row r="36" spans="1:24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8"/>
    </row>
    <row r="37" spans="1:2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8"/>
    </row>
    <row r="38" spans="1:24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8"/>
    </row>
    <row r="39" spans="1:24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8"/>
    </row>
    <row r="40" spans="1:24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8"/>
    </row>
    <row r="41" spans="1:24" ht="15.75" thickBo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8"/>
    </row>
    <row r="42" spans="1:24" x14ac:dyDescent="0.25">
      <c r="A42" s="20" t="s">
        <v>52</v>
      </c>
      <c r="B42" s="21"/>
      <c r="C42" s="2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</row>
    <row r="43" spans="1:24" x14ac:dyDescent="0.25">
      <c r="A43" s="23"/>
      <c r="B43" s="24"/>
      <c r="C43" s="2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8"/>
    </row>
    <row r="44" spans="1:24" x14ac:dyDescent="0.25">
      <c r="A44" s="23"/>
      <c r="B44" s="24"/>
      <c r="C44" s="25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8"/>
    </row>
    <row r="45" spans="1:24" ht="15.75" thickBot="1" x14ac:dyDescent="0.3">
      <c r="A45" s="26"/>
      <c r="B45" s="27"/>
      <c r="C45" s="2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8"/>
    </row>
    <row r="46" spans="1:24" x14ac:dyDescent="0.25">
      <c r="A46" s="11">
        <f>GETPIVOTDATA("Purchased Bike",'PIVOT TABLE'!$A$166,"Purchased Bike","Yes")/GETPIVOTDATA("Purchased Bike",'PIVOT TABLE'!$A$166)</f>
        <v>0.48099999999999998</v>
      </c>
      <c r="B46" s="12"/>
      <c r="C46" s="13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8"/>
    </row>
    <row r="47" spans="1:24" x14ac:dyDescent="0.25">
      <c r="A47" s="14"/>
      <c r="B47" s="15"/>
      <c r="C47" s="1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8"/>
    </row>
    <row r="48" spans="1:24" x14ac:dyDescent="0.25">
      <c r="A48" s="14"/>
      <c r="B48" s="15"/>
      <c r="C48" s="1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8"/>
    </row>
    <row r="49" spans="1:24" x14ac:dyDescent="0.25">
      <c r="A49" s="14"/>
      <c r="B49" s="15"/>
      <c r="C49" s="1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8"/>
    </row>
    <row r="50" spans="1:24" x14ac:dyDescent="0.25">
      <c r="A50" s="14"/>
      <c r="B50" s="15"/>
      <c r="C50" s="1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8"/>
    </row>
    <row r="51" spans="1:24" x14ac:dyDescent="0.25">
      <c r="A51" s="14"/>
      <c r="B51" s="15"/>
      <c r="C51" s="1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8"/>
    </row>
    <row r="52" spans="1:24" x14ac:dyDescent="0.25">
      <c r="A52" s="14"/>
      <c r="B52" s="15"/>
      <c r="C52" s="1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8"/>
    </row>
    <row r="53" spans="1:24" x14ac:dyDescent="0.25">
      <c r="A53" s="14"/>
      <c r="B53" s="15"/>
      <c r="C53" s="1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8"/>
    </row>
    <row r="54" spans="1:24" x14ac:dyDescent="0.25">
      <c r="A54" s="14"/>
      <c r="B54" s="15"/>
      <c r="C54" s="1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8"/>
    </row>
    <row r="55" spans="1:24" x14ac:dyDescent="0.25">
      <c r="A55" s="14"/>
      <c r="B55" s="15"/>
      <c r="C55" s="1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8"/>
    </row>
    <row r="56" spans="1:24" ht="15.75" thickBot="1" x14ac:dyDescent="0.3">
      <c r="A56" s="17"/>
      <c r="B56" s="18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8"/>
    </row>
    <row r="57" spans="1:24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</sheetData>
  <mergeCells count="3">
    <mergeCell ref="A1:W6"/>
    <mergeCell ref="A46:C56"/>
    <mergeCell ref="A42:C45"/>
  </mergeCells>
  <conditionalFormatting sqref="A46:C56">
    <cfRule type="expression" dxfId="1" priority="1">
      <formula>$A$46&lt;70%</formula>
    </cfRule>
    <cfRule type="expression" dxfId="0" priority="2">
      <formula>$A$46&gt;=70%</formula>
    </cfRule>
  </conditionalFormatting>
  <pageMargins left="0.7" right="0.7" top="0.75" bottom="0.75" header="0.3" footer="0.3"/>
  <pageSetup paperSize="9" orientation="portrait" horizontalDpi="4294967292" verticalDpi="1200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GUTIERREZ</cp:lastModifiedBy>
  <dcterms:created xsi:type="dcterms:W3CDTF">2022-03-18T02:50:57Z</dcterms:created>
  <dcterms:modified xsi:type="dcterms:W3CDTF">2025-10-22T16:44:55Z</dcterms:modified>
</cp:coreProperties>
</file>